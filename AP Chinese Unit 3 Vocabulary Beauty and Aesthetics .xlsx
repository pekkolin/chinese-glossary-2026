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aJiMryZISxcB17cxfEJS4HgTJ8LqpmhaNGp0LJAjXw="/>
    </ext>
  </extLst>
</workbook>
</file>

<file path=xl/sharedStrings.xml><?xml version="1.0" encoding="utf-8"?>
<sst xmlns="http://schemas.openxmlformats.org/spreadsheetml/2006/main" count="124" uniqueCount="118">
  <si>
    <t xml:space="preserve">Feel free to catelogue the vocabulary, such as the names of province, arts, tour sites,etc. </t>
  </si>
  <si>
    <t>拼音</t>
  </si>
  <si>
    <t>中文简体</t>
  </si>
  <si>
    <t>中文繁体</t>
  </si>
  <si>
    <t>英文</t>
  </si>
  <si>
    <t>风景</t>
  </si>
  <si>
    <t>名胜古迹</t>
  </si>
  <si>
    <t>兵马俑</t>
  </si>
  <si>
    <t>博物馆</t>
  </si>
  <si>
    <t>长城</t>
  </si>
  <si>
    <t>朝代</t>
  </si>
  <si>
    <t>出版</t>
  </si>
  <si>
    <t>寒假</t>
  </si>
  <si>
    <t>宾馆</t>
  </si>
  <si>
    <t>电视剧</t>
  </si>
  <si>
    <t>电影院</t>
  </si>
  <si>
    <t>动作</t>
  </si>
  <si>
    <t>饭店</t>
  </si>
  <si>
    <t>广东</t>
  </si>
  <si>
    <t>广州</t>
  </si>
  <si>
    <t>游览点</t>
  </si>
  <si>
    <t>铁路</t>
  </si>
  <si>
    <t>公路</t>
  </si>
  <si>
    <t>河流</t>
  </si>
  <si>
    <t>高速公路</t>
  </si>
  <si>
    <t>黄河</t>
  </si>
  <si>
    <t>故乡</t>
  </si>
  <si>
    <t>长江</t>
  </si>
  <si>
    <t>历史</t>
  </si>
  <si>
    <t>南京</t>
  </si>
  <si>
    <t>农村</t>
  </si>
  <si>
    <t>平原</t>
  </si>
  <si>
    <t>沙漠</t>
  </si>
  <si>
    <t xml:space="preserve"> 山</t>
  </si>
  <si>
    <t>深圳</t>
  </si>
  <si>
    <t>四川</t>
  </si>
  <si>
    <t>新疆</t>
  </si>
  <si>
    <t>演唱会</t>
  </si>
  <si>
    <t>演员</t>
  </si>
  <si>
    <t>银行</t>
  </si>
  <si>
    <t>杂志</t>
  </si>
  <si>
    <t>办公室</t>
  </si>
  <si>
    <t>旅馆</t>
  </si>
  <si>
    <t>夏威夷</t>
  </si>
  <si>
    <t>亚洲研究</t>
  </si>
  <si>
    <t>医院</t>
  </si>
  <si>
    <t>英国</t>
  </si>
  <si>
    <t>音乐会</t>
  </si>
  <si>
    <t>越南</t>
  </si>
  <si>
    <t>中国城</t>
  </si>
  <si>
    <t>山</t>
  </si>
  <si>
    <t>天津</t>
  </si>
  <si>
    <t>餐馆</t>
  </si>
  <si>
    <t>到处</t>
  </si>
  <si>
    <t>地道</t>
  </si>
  <si>
    <t>地理</t>
  </si>
  <si>
    <t>地形</t>
  </si>
  <si>
    <t>海</t>
  </si>
  <si>
    <t>路线</t>
  </si>
  <si>
    <t>旅客</t>
  </si>
  <si>
    <t>旅游</t>
  </si>
  <si>
    <t>马路</t>
  </si>
  <si>
    <t>面积</t>
  </si>
  <si>
    <t>墨西哥</t>
  </si>
  <si>
    <t>沿海</t>
  </si>
  <si>
    <t>一带</t>
  </si>
  <si>
    <t>云南</t>
  </si>
  <si>
    <t>高原</t>
  </si>
  <si>
    <t>宫殿</t>
  </si>
  <si>
    <t>购物</t>
  </si>
  <si>
    <t>古老</t>
  </si>
  <si>
    <t>挂(着)</t>
  </si>
  <si>
    <t>摆着</t>
  </si>
  <si>
    <t>海洋</t>
  </si>
  <si>
    <t>画画</t>
  </si>
  <si>
    <t>纪念品</t>
  </si>
  <si>
    <t>减肥</t>
  </si>
  <si>
    <t>健身房</t>
  </si>
  <si>
    <t>昆明</t>
  </si>
  <si>
    <t>美丽</t>
  </si>
  <si>
    <t>门票</t>
  </si>
  <si>
    <t>牛仔裤</t>
  </si>
  <si>
    <t>爬山</t>
  </si>
  <si>
    <t>奇怪</t>
  </si>
  <si>
    <t>旗袍</t>
  </si>
  <si>
    <t>墙</t>
  </si>
  <si>
    <t>圈</t>
  </si>
  <si>
    <t>人山人海</t>
  </si>
  <si>
    <t>身材</t>
  </si>
  <si>
    <t>省会</t>
  </si>
  <si>
    <t>湿</t>
  </si>
  <si>
    <t>干</t>
  </si>
  <si>
    <t>时髦</t>
  </si>
  <si>
    <t>假山</t>
  </si>
  <si>
    <t>石头</t>
  </si>
  <si>
    <t>石林</t>
  </si>
  <si>
    <t>园林</t>
  </si>
  <si>
    <t>丝绸</t>
  </si>
  <si>
    <t>四季如春</t>
  </si>
  <si>
    <t>塔</t>
  </si>
  <si>
    <t>太极拳</t>
  </si>
  <si>
    <t>武术</t>
  </si>
  <si>
    <t>艺术</t>
  </si>
  <si>
    <t>毯子</t>
  </si>
  <si>
    <t>套装</t>
  </si>
  <si>
    <t>特色</t>
  </si>
  <si>
    <t>体贴</t>
  </si>
  <si>
    <t>纬度</t>
  </si>
  <si>
    <t>温度</t>
  </si>
  <si>
    <t>卧铺</t>
  </si>
  <si>
    <t>熊猫</t>
  </si>
  <si>
    <t>修身养性</t>
  </si>
  <si>
    <t>阴阳</t>
  </si>
  <si>
    <t>早晨</t>
  </si>
  <si>
    <t>展览馆</t>
  </si>
  <si>
    <t>展厅</t>
  </si>
  <si>
    <t>哲学</t>
  </si>
  <si>
    <t>枕头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</si>
</sst>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2"/>
      <c r="B3" s="2" t="s">
        <v>5</v>
      </c>
      <c r="C3" s="2" t="str">
        <f>IFERROR(__xludf.DUMMYFUNCTION("IF(B3&lt;&gt;"""",GOOGLETRANSLATE(B3,""zh"",""zh-TW""),"""")"),"風景")</f>
        <v>風景</v>
      </c>
      <c r="D3" s="2" t="str">
        <f>IFERROR(__xludf.DUMMYFUNCTION("IF(B3&lt;&gt;"""",GOOGLETRANSLATE(B3,""zh"",""en""),"""")"),"landscape")</f>
        <v>landscape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2"/>
      <c r="B4" s="2" t="s">
        <v>6</v>
      </c>
      <c r="C4" s="2" t="str">
        <f>IFERROR(__xludf.DUMMYFUNCTION("IF(B4&lt;&gt;"""",GOOGLETRANSLATE(B4,""zh"",""zh-TW""),"""")"),"名勝古蹟")</f>
        <v>名勝古蹟</v>
      </c>
      <c r="D4" s="2" t="str">
        <f>IFERROR(__xludf.DUMMYFUNCTION("IF(B4&lt;&gt;"""",GOOGLETRANSLATE(B4,""zh"",""en""),"""")"),"Monument")</f>
        <v>Monument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2"/>
      <c r="B5" s="2" t="s">
        <v>7</v>
      </c>
      <c r="C5" s="2" t="str">
        <f>IFERROR(__xludf.DUMMYFUNCTION("IF(B5&lt;&gt;"""",GOOGLETRANSLATE(B5,""zh"",""zh-TW""),"""")"),"兵馬俑")</f>
        <v>兵馬俑</v>
      </c>
      <c r="D5" s="2" t="str">
        <f>IFERROR(__xludf.DUMMYFUNCTION("IF(B5&lt;&gt;"""",GOOGLETRANSLATE(B5,""zh"",""en""),"""")"),"Terracotta warriors")</f>
        <v>Terracotta warriors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2"/>
      <c r="B6" s="2" t="s">
        <v>8</v>
      </c>
      <c r="C6" s="2" t="str">
        <f>IFERROR(__xludf.DUMMYFUNCTION("IF(B6&lt;&gt;"""",GOOGLETRANSLATE(B6,""zh"",""zh-TW""),"""")"),"博物館")</f>
        <v>博物館</v>
      </c>
      <c r="D6" s="2" t="str">
        <f>IFERROR(__xludf.DUMMYFUNCTION("IF(B6&lt;&gt;"""",GOOGLETRANSLATE(B6,""zh"",""en""),"""")"),"museum")</f>
        <v>museum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2"/>
      <c r="B7" s="2" t="s">
        <v>9</v>
      </c>
      <c r="C7" s="2" t="str">
        <f>IFERROR(__xludf.DUMMYFUNCTION("IF(B7&lt;&gt;"""",GOOGLETRANSLATE(B7,""zh"",""zh-TW""),"""")"),"長城")</f>
        <v>長城</v>
      </c>
      <c r="D7" s="2" t="str">
        <f>IFERROR(__xludf.DUMMYFUNCTION("IF(B7&lt;&gt;"""",GOOGLETRANSLATE(B7,""zh"",""en""),"""")"),"Great Wall")</f>
        <v>Great Wall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2"/>
      <c r="B8" s="2" t="s">
        <v>10</v>
      </c>
      <c r="C8" s="2" t="str">
        <f>IFERROR(__xludf.DUMMYFUNCTION("IF(B8&lt;&gt;"""",GOOGLETRANSLATE(B8,""zh"",""zh-TW""),"""")"),"朝代")</f>
        <v>朝代</v>
      </c>
      <c r="D8" s="2" t="str">
        <f>IFERROR(__xludf.DUMMYFUNCTION("IF(B8&lt;&gt;"""",GOOGLETRANSLATE(B8,""zh"",""en""),"""")"),"dynasty")</f>
        <v>dynasty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2"/>
      <c r="B9" s="2" t="s">
        <v>11</v>
      </c>
      <c r="C9" s="2" t="str">
        <f>IFERROR(__xludf.DUMMYFUNCTION("IF(B9&lt;&gt;"""",GOOGLETRANSLATE(B9,""zh"",""zh-TW""),"""")"),"出版")</f>
        <v>出版</v>
      </c>
      <c r="D9" s="2" t="str">
        <f>IFERROR(__xludf.DUMMYFUNCTION("IF(B9&lt;&gt;"""",GOOGLETRANSLATE(B9,""zh"",""en""),"""")"),"publishing")</f>
        <v>publishing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2"/>
      <c r="B10" s="2" t="s">
        <v>12</v>
      </c>
      <c r="C10" s="2" t="str">
        <f>IFERROR(__xludf.DUMMYFUNCTION("IF(B10&lt;&gt;"""",GOOGLETRANSLATE(B10,""zh"",""zh-TW""),"""")"),"寒假")</f>
        <v>寒假</v>
      </c>
      <c r="D10" s="2" t="str">
        <f>IFERROR(__xludf.DUMMYFUNCTION("IF(B10&lt;&gt;"""",GOOGLETRANSLATE(B10,""zh"",""en""),"""")"),"winter vacation")</f>
        <v>winter vacation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2"/>
      <c r="B11" s="2" t="s">
        <v>13</v>
      </c>
      <c r="C11" s="2" t="str">
        <f>IFERROR(__xludf.DUMMYFUNCTION("IF(B11&lt;&gt;"""",GOOGLETRANSLATE(B11,""zh"",""zh-TW""),"""")"),"賓館")</f>
        <v>賓館</v>
      </c>
      <c r="D11" s="2" t="str">
        <f>IFERROR(__xludf.DUMMYFUNCTION("IF(B11&lt;&gt;"""",GOOGLETRANSLATE(B11,""zh"",""en""),"""")"),"Hotel")</f>
        <v>Hotel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2"/>
      <c r="B12" s="2" t="s">
        <v>14</v>
      </c>
      <c r="C12" s="2" t="str">
        <f>IFERROR(__xludf.DUMMYFUNCTION("IF(B12&lt;&gt;"""",GOOGLETRANSLATE(B12,""zh"",""zh-TW""),"""")"),"電視劇")</f>
        <v>電視劇</v>
      </c>
      <c r="D12" s="2" t="str">
        <f>IFERROR(__xludf.DUMMYFUNCTION("IF(B12&lt;&gt;"""",GOOGLETRANSLATE(B12,""zh"",""en""),"""")"),"TV drama")</f>
        <v>TV drama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2"/>
      <c r="B13" s="2" t="s">
        <v>15</v>
      </c>
      <c r="C13" s="2" t="str">
        <f>IFERROR(__xludf.DUMMYFUNCTION("IF(B13&lt;&gt;"""",GOOGLETRANSLATE(B13,""zh"",""zh-TW""),"""")"),"電影院")</f>
        <v>電影院</v>
      </c>
      <c r="D13" s="2" t="str">
        <f>IFERROR(__xludf.DUMMYFUNCTION("IF(B13&lt;&gt;"""",GOOGLETRANSLATE(B13,""zh"",""en""),"""")"),"Cinema")</f>
        <v>Cinema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2"/>
      <c r="B14" s="2" t="s">
        <v>16</v>
      </c>
      <c r="C14" s="2" t="str">
        <f>IFERROR(__xludf.DUMMYFUNCTION("IF(B14&lt;&gt;"""",GOOGLETRANSLATE(B14,""zh"",""zh-TW""),"""")"),"動作")</f>
        <v>動作</v>
      </c>
      <c r="D14" s="2" t="str">
        <f>IFERROR(__xludf.DUMMYFUNCTION("IF(B14&lt;&gt;"""",GOOGLETRANSLATE(B14,""zh"",""en""),"""")"),"action")</f>
        <v>action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2"/>
      <c r="B15" s="2" t="s">
        <v>17</v>
      </c>
      <c r="C15" s="2" t="str">
        <f>IFERROR(__xludf.DUMMYFUNCTION("IF(B15&lt;&gt;"""",GOOGLETRANSLATE(B15,""zh"",""zh-TW""),"""")"),"飯店")</f>
        <v>飯店</v>
      </c>
      <c r="D15" s="2" t="str">
        <f>IFERROR(__xludf.DUMMYFUNCTION("IF(B15&lt;&gt;"""",GOOGLETRANSLATE(B15,""zh"",""en""),"""")"),"Restaurant")</f>
        <v>Restaurant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2"/>
      <c r="B16" s="2" t="s">
        <v>18</v>
      </c>
      <c r="C16" s="2" t="str">
        <f>IFERROR(__xludf.DUMMYFUNCTION("IF(B16&lt;&gt;"""",GOOGLETRANSLATE(B16,""zh"",""zh-TW""),"""")"),"廣東")</f>
        <v>廣東</v>
      </c>
      <c r="D16" s="2" t="str">
        <f>IFERROR(__xludf.DUMMYFUNCTION("IF(B16&lt;&gt;"""",GOOGLETRANSLATE(B16,""zh"",""en""),"""")"),"Guangdong")</f>
        <v>Guangdong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" t="s">
        <v>19</v>
      </c>
      <c r="C17" s="2" t="str">
        <f>IFERROR(__xludf.DUMMYFUNCTION("IF(B17&lt;&gt;"""",GOOGLETRANSLATE(B17,""zh"",""zh-TW""),"""")"),"廣州")</f>
        <v>廣州</v>
      </c>
      <c r="D17" s="2" t="str">
        <f>IFERROR(__xludf.DUMMYFUNCTION("IF(B17&lt;&gt;"""",GOOGLETRANSLATE(B17,""zh"",""en""),"""")"),"Guangzhou")</f>
        <v>Guangzhou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" t="s">
        <v>20</v>
      </c>
      <c r="C18" s="2" t="str">
        <f>IFERROR(__xludf.DUMMYFUNCTION("IF(B18&lt;&gt;"""",GOOGLETRANSLATE(B18,""zh"",""zh-TW""),"""")"),"遊覽點")</f>
        <v>遊覽點</v>
      </c>
      <c r="D18" s="2" t="str">
        <f>IFERROR(__xludf.DUMMYFUNCTION("IF(B18&lt;&gt;"""",GOOGLETRANSLATE(B18,""zh"",""en""),"""")"),"Tourist spot")</f>
        <v>Tourist spot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" t="s">
        <v>21</v>
      </c>
      <c r="C19" s="2" t="str">
        <f>IFERROR(__xludf.DUMMYFUNCTION("IF(B19&lt;&gt;"""",GOOGLETRANSLATE(B19,""zh"",""zh-TW""),"""")"),"鐵路")</f>
        <v>鐵路</v>
      </c>
      <c r="D19" s="2" t="str">
        <f>IFERROR(__xludf.DUMMYFUNCTION("IF(B19&lt;&gt;"""",GOOGLETRANSLATE(B19,""zh"",""en""),"""")"),"railway")</f>
        <v>railway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" t="s">
        <v>22</v>
      </c>
      <c r="C20" s="2" t="str">
        <f>IFERROR(__xludf.DUMMYFUNCTION("IF(B20&lt;&gt;"""",GOOGLETRANSLATE(B20,""zh"",""zh-TW""),"""")"),"公路")</f>
        <v>公路</v>
      </c>
      <c r="D20" s="2" t="str">
        <f>IFERROR(__xludf.DUMMYFUNCTION("IF(B20&lt;&gt;"""",GOOGLETRANSLATE(B20,""zh"",""en""),"""")"),"highway")</f>
        <v>highway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 t="s">
        <v>23</v>
      </c>
      <c r="C21" s="2" t="str">
        <f>IFERROR(__xludf.DUMMYFUNCTION("IF(B21&lt;&gt;"""",GOOGLETRANSLATE(B21,""zh"",""zh-TW""),"""")"),"河流")</f>
        <v>河流</v>
      </c>
      <c r="D21" s="2" t="str">
        <f>IFERROR(__xludf.DUMMYFUNCTION("IF(B21&lt;&gt;"""",GOOGLETRANSLATE(B21,""zh"",""en""),"""")"),"river")</f>
        <v>river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 t="s">
        <v>24</v>
      </c>
      <c r="C22" s="2" t="str">
        <f>IFERROR(__xludf.DUMMYFUNCTION("IF(B22&lt;&gt;"""",GOOGLETRANSLATE(B22,""zh"",""zh-TW""),"""")"),"高速公路")</f>
        <v>高速公路</v>
      </c>
      <c r="D22" s="2" t="str">
        <f>IFERROR(__xludf.DUMMYFUNCTION("IF(B22&lt;&gt;"""",GOOGLETRANSLATE(B22,""zh"",""en""),"""")"),"highway")</f>
        <v>highway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 t="s">
        <v>25</v>
      </c>
      <c r="C23" s="2" t="str">
        <f>IFERROR(__xludf.DUMMYFUNCTION("IF(B23&lt;&gt;"""",GOOGLETRANSLATE(B23,""zh"",""zh-TW""),"""")"),"黃河")</f>
        <v>黃河</v>
      </c>
      <c r="D23" s="2" t="str">
        <f>IFERROR(__xludf.DUMMYFUNCTION("IF(B23&lt;&gt;"""",GOOGLETRANSLATE(B23,""zh"",""en""),"""")"),"Yellow River")</f>
        <v>Yellow River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 t="s">
        <v>26</v>
      </c>
      <c r="C24" s="2" t="str">
        <f>IFERROR(__xludf.DUMMYFUNCTION("IF(B24&lt;&gt;"""",GOOGLETRANSLATE(B24,""zh"",""zh-TW""),"""")"),"故鄉")</f>
        <v>故鄉</v>
      </c>
      <c r="D24" s="2" t="str">
        <f>IFERROR(__xludf.DUMMYFUNCTION("IF(B24&lt;&gt;"""",GOOGLETRANSLATE(B24,""zh"",""en""),"""")"),"home")</f>
        <v>home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 t="s">
        <v>27</v>
      </c>
      <c r="C25" s="2" t="str">
        <f>IFERROR(__xludf.DUMMYFUNCTION("IF(B25&lt;&gt;"""",GOOGLETRANSLATE(B25,""zh"",""zh-TW""),"""")"),"長江")</f>
        <v>長江</v>
      </c>
      <c r="D25" s="2" t="str">
        <f>IFERROR(__xludf.DUMMYFUNCTION("IF(B25&lt;&gt;"""",GOOGLETRANSLATE(B25,""zh"",""en""),"""")"),"Yangtze")</f>
        <v>Yangtze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 t="s">
        <v>28</v>
      </c>
      <c r="C26" s="2" t="str">
        <f>IFERROR(__xludf.DUMMYFUNCTION("IF(B26&lt;&gt;"""",GOOGLETRANSLATE(B26,""zh"",""zh-TW""),"""")"),"歷史")</f>
        <v>歷史</v>
      </c>
      <c r="D26" s="2" t="str">
        <f>IFERROR(__xludf.DUMMYFUNCTION("IF(B26&lt;&gt;"""",GOOGLETRANSLATE(B26,""zh"",""en""),"""")"),"history")</f>
        <v>history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 t="s">
        <v>29</v>
      </c>
      <c r="C27" s="2" t="str">
        <f>IFERROR(__xludf.DUMMYFUNCTION("IF(B27&lt;&gt;"""",GOOGLETRANSLATE(B27,""zh"",""zh-TW""),"""")"),"南京")</f>
        <v>南京</v>
      </c>
      <c r="D27" s="2" t="str">
        <f>IFERROR(__xludf.DUMMYFUNCTION("IF(B27&lt;&gt;"""",GOOGLETRANSLATE(B27,""zh"",""en""),"""")"),"Nanjing")</f>
        <v>Nanjing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 t="s">
        <v>30</v>
      </c>
      <c r="C28" s="2" t="str">
        <f>IFERROR(__xludf.DUMMYFUNCTION("IF(B28&lt;&gt;"""",GOOGLETRANSLATE(B28,""zh"",""zh-TW""),"""")"),"農村")</f>
        <v>農村</v>
      </c>
      <c r="D28" s="2" t="str">
        <f>IFERROR(__xludf.DUMMYFUNCTION("IF(B28&lt;&gt;"""",GOOGLETRANSLATE(B28,""zh"",""en""),"""")"),"Rural")</f>
        <v>Rural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 t="s">
        <v>31</v>
      </c>
      <c r="C29" s="2" t="str">
        <f>IFERROR(__xludf.DUMMYFUNCTION("IF(B29&lt;&gt;"""",GOOGLETRANSLATE(B29,""zh"",""zh-TW""),"""")"),"平原")</f>
        <v>平原</v>
      </c>
      <c r="D29" s="2" t="str">
        <f>IFERROR(__xludf.DUMMYFUNCTION("IF(B29&lt;&gt;"""",GOOGLETRANSLATE(B29,""zh"",""en""),"""")"),"Plain")</f>
        <v>Plain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 t="s">
        <v>32</v>
      </c>
      <c r="C30" s="2" t="str">
        <f>IFERROR(__xludf.DUMMYFUNCTION("IF(B30&lt;&gt;"""",GOOGLETRANSLATE(B30,""zh"",""zh-TW""),"""")"),"沙漠")</f>
        <v>沙漠</v>
      </c>
      <c r="D30" s="2" t="str">
        <f>IFERROR(__xludf.DUMMYFUNCTION("IF(B30&lt;&gt;"""",GOOGLETRANSLATE(B30,""zh"",""en""),"""")"),"desert")</f>
        <v>desert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 t="s">
        <v>33</v>
      </c>
      <c r="C31" s="2" t="str">
        <f>IFERROR(__xludf.DUMMYFUNCTION("IF(B31&lt;&gt;"""",GOOGLETRANSLATE(B31,""zh"",""zh-TW""),"""")")," 山")</f>
        <v> 山</v>
      </c>
      <c r="D31" s="2" t="str">
        <f>IFERROR(__xludf.DUMMYFUNCTION("IF(B31&lt;&gt;"""",GOOGLETRANSLATE(B31,""zh"",""en""),"""")")," Mountain")</f>
        <v> Mountain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 t="s">
        <v>34</v>
      </c>
      <c r="C32" s="2" t="str">
        <f>IFERROR(__xludf.DUMMYFUNCTION("IF(B32&lt;&gt;"""",GOOGLETRANSLATE(B32,""zh"",""zh-TW""),"""")"),"深圳")</f>
        <v>深圳</v>
      </c>
      <c r="D32" s="2" t="str">
        <f>IFERROR(__xludf.DUMMYFUNCTION("IF(B32&lt;&gt;"""",GOOGLETRANSLATE(B32,""zh"",""en""),"""")"),"Shenzhen")</f>
        <v>Shenzhen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 t="s">
        <v>35</v>
      </c>
      <c r="C33" s="2" t="str">
        <f>IFERROR(__xludf.DUMMYFUNCTION("IF(B33&lt;&gt;"""",GOOGLETRANSLATE(B33,""zh"",""zh-TW""),"""")"),"四川")</f>
        <v>四川</v>
      </c>
      <c r="D33" s="2" t="str">
        <f>IFERROR(__xludf.DUMMYFUNCTION("IF(B33&lt;&gt;"""",GOOGLETRANSLATE(B33,""zh"",""en""),"""")"),"Sichuan")</f>
        <v>Sichuan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 t="s">
        <v>36</v>
      </c>
      <c r="C34" s="2" t="str">
        <f>IFERROR(__xludf.DUMMYFUNCTION("IF(B34&lt;&gt;"""",GOOGLETRANSLATE(B34,""zh"",""zh-TW""),"""")"),"新疆")</f>
        <v>新疆</v>
      </c>
      <c r="D34" s="2" t="str">
        <f>IFERROR(__xludf.DUMMYFUNCTION("IF(B34&lt;&gt;"""",GOOGLETRANSLATE(B34,""zh"",""en""),"""")"),"Xinjiang")</f>
        <v>Xinjiang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 t="s">
        <v>37</v>
      </c>
      <c r="C35" s="2" t="str">
        <f>IFERROR(__xludf.DUMMYFUNCTION("IF(B35&lt;&gt;"""",GOOGLETRANSLATE(B35,""zh"",""zh-TW""),"""")"),"演唱會")</f>
        <v>演唱會</v>
      </c>
      <c r="D35" s="2" t="str">
        <f>IFERROR(__xludf.DUMMYFUNCTION("IF(B35&lt;&gt;"""",GOOGLETRANSLATE(B35,""zh"",""en""),"""")"),"concert")</f>
        <v>concert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 t="s">
        <v>38</v>
      </c>
      <c r="C36" s="2" t="str">
        <f>IFERROR(__xludf.DUMMYFUNCTION("IF(B36&lt;&gt;"""",GOOGLETRANSLATE(B36,""zh"",""zh-TW""),"""")"),"演員")</f>
        <v>演員</v>
      </c>
      <c r="D36" s="2" t="str">
        <f>IFERROR(__xludf.DUMMYFUNCTION("IF(B36&lt;&gt;"""",GOOGLETRANSLATE(B36,""zh"",""en""),"""")"),"actor")</f>
        <v>actor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 t="s">
        <v>39</v>
      </c>
      <c r="C37" s="2" t="str">
        <f>IFERROR(__xludf.DUMMYFUNCTION("IF(B37&lt;&gt;"""",GOOGLETRANSLATE(B37,""zh"",""zh-TW""),"""")"),"銀行")</f>
        <v>銀行</v>
      </c>
      <c r="D37" s="2" t="str">
        <f>IFERROR(__xludf.DUMMYFUNCTION("IF(B37&lt;&gt;"""",GOOGLETRANSLATE(B37,""zh"",""en""),"""")"),"bank")</f>
        <v>bank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 t="s">
        <v>40</v>
      </c>
      <c r="C38" s="2" t="str">
        <f>IFERROR(__xludf.DUMMYFUNCTION("IF(B38&lt;&gt;"""",GOOGLETRANSLATE(B38,""zh"",""zh-TW""),"""")"),"雜誌")</f>
        <v>雜誌</v>
      </c>
      <c r="D38" s="2" t="str">
        <f>IFERROR(__xludf.DUMMYFUNCTION("IF(B38&lt;&gt;"""",GOOGLETRANSLATE(B38,""zh"",""en""),"""")"),"Magazine")</f>
        <v>Magazine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 t="s">
        <v>41</v>
      </c>
      <c r="C39" s="2" t="str">
        <f>IFERROR(__xludf.DUMMYFUNCTION("IF(B39&lt;&gt;"""",GOOGLETRANSLATE(B39,""zh"",""zh-TW""),"""")"),"辦公室")</f>
        <v>辦公室</v>
      </c>
      <c r="D39" s="2" t="str">
        <f>IFERROR(__xludf.DUMMYFUNCTION("IF(B39&lt;&gt;"""",GOOGLETRANSLATE(B39,""zh"",""en""),"""")"),"office")</f>
        <v>office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 t="s">
        <v>42</v>
      </c>
      <c r="C40" s="2" t="str">
        <f>IFERROR(__xludf.DUMMYFUNCTION("IF(B40&lt;&gt;"""",GOOGLETRANSLATE(B40,""zh"",""zh-TW""),"""")"),"旅館")</f>
        <v>旅館</v>
      </c>
      <c r="D40" s="2" t="str">
        <f>IFERROR(__xludf.DUMMYFUNCTION("IF(B40&lt;&gt;"""",GOOGLETRANSLATE(B40,""zh"",""en""),"""")"),"hostel")</f>
        <v>hostel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 t="s">
        <v>43</v>
      </c>
      <c r="C41" s="2" t="str">
        <f>IFERROR(__xludf.DUMMYFUNCTION("IF(B41&lt;&gt;"""",GOOGLETRANSLATE(B41,""zh"",""zh-TW""),"""")"),"夏威夷")</f>
        <v>夏威夷</v>
      </c>
      <c r="D41" s="2" t="str">
        <f>IFERROR(__xludf.DUMMYFUNCTION("IF(B41&lt;&gt;"""",GOOGLETRANSLATE(B41,""zh"",""en""),"""")"),"Hawaii")</f>
        <v>Hawaii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 t="s">
        <v>44</v>
      </c>
      <c r="C42" s="2" t="str">
        <f>IFERROR(__xludf.DUMMYFUNCTION("IF(B42&lt;&gt;"""",GOOGLETRANSLATE(B42,""zh"",""zh-TW""),"""")"),"亞洲研究")</f>
        <v>亞洲研究</v>
      </c>
      <c r="D42" s="2" t="str">
        <f>IFERROR(__xludf.DUMMYFUNCTION("IF(B42&lt;&gt;"""",GOOGLETRANSLATE(B42,""zh"",""en""),"""")"),"Asian research")</f>
        <v>Asian research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 t="s">
        <v>45</v>
      </c>
      <c r="C43" s="2" t="str">
        <f>IFERROR(__xludf.DUMMYFUNCTION("IF(B43&lt;&gt;"""",GOOGLETRANSLATE(B43,""zh"",""zh-TW""),"""")"),"醫院")</f>
        <v>醫院</v>
      </c>
      <c r="D43" s="2" t="str">
        <f>IFERROR(__xludf.DUMMYFUNCTION("IF(B43&lt;&gt;"""",GOOGLETRANSLATE(B43,""zh"",""en""),"""")"),"Hospital")</f>
        <v>Hospital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 t="s">
        <v>46</v>
      </c>
      <c r="C44" s="2" t="str">
        <f>IFERROR(__xludf.DUMMYFUNCTION("IF(B44&lt;&gt;"""",GOOGLETRANSLATE(B44,""zh"",""zh-TW""),"""")"),"英國")</f>
        <v>英國</v>
      </c>
      <c r="D44" s="2" t="str">
        <f>IFERROR(__xludf.DUMMYFUNCTION("IF(B44&lt;&gt;"""",GOOGLETRANSLATE(B44,""zh"",""en""),"""")"),"U.K.")</f>
        <v>U.K.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 t="s">
        <v>47</v>
      </c>
      <c r="C45" s="2" t="str">
        <f>IFERROR(__xludf.DUMMYFUNCTION("IF(B45&lt;&gt;"""",GOOGLETRANSLATE(B45,""zh"",""zh-TW""),"""")"),"音樂會")</f>
        <v>音樂會</v>
      </c>
      <c r="D45" s="2" t="str">
        <f>IFERROR(__xludf.DUMMYFUNCTION("IF(B45&lt;&gt;"""",GOOGLETRANSLATE(B45,""zh"",""en""),"""")"),"concert")</f>
        <v>concert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 t="s">
        <v>48</v>
      </c>
      <c r="C46" s="2" t="str">
        <f>IFERROR(__xludf.DUMMYFUNCTION("IF(B46&lt;&gt;"""",GOOGLETRANSLATE(B46,""zh"",""zh-TW""),"""")"),"越南")</f>
        <v>越南</v>
      </c>
      <c r="D46" s="2" t="str">
        <f>IFERROR(__xludf.DUMMYFUNCTION("IF(B46&lt;&gt;"""",GOOGLETRANSLATE(B46,""zh"",""en""),"""")"),"Vietnam")</f>
        <v>Vietnam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 t="s">
        <v>49</v>
      </c>
      <c r="C47" s="2" t="str">
        <f>IFERROR(__xludf.DUMMYFUNCTION("IF(B47&lt;&gt;"""",GOOGLETRANSLATE(B47,""zh"",""zh-TW""),"""")"),"中國城")</f>
        <v>中國城</v>
      </c>
      <c r="D47" s="2" t="str">
        <f>IFERROR(__xludf.DUMMYFUNCTION("IF(B47&lt;&gt;"""",GOOGLETRANSLATE(B47,""zh"",""en""),"""")"),"China Town")</f>
        <v>China Town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 t="s">
        <v>50</v>
      </c>
      <c r="C48" s="2" t="str">
        <f>IFERROR(__xludf.DUMMYFUNCTION("IF(B48&lt;&gt;"""",GOOGLETRANSLATE(B48,""zh"",""zh-TW""),"""")"),"山")</f>
        <v>山</v>
      </c>
      <c r="D48" s="2" t="str">
        <f>IFERROR(__xludf.DUMMYFUNCTION("IF(B48&lt;&gt;"""",GOOGLETRANSLATE(B48,""zh"",""en""),"""")"),"Mountain")</f>
        <v>Mountain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 t="s">
        <v>51</v>
      </c>
      <c r="C49" s="2" t="str">
        <f>IFERROR(__xludf.DUMMYFUNCTION("IF(B49&lt;&gt;"""",GOOGLETRANSLATE(B49,""zh"",""zh-TW""),"""")"),"天津")</f>
        <v>天津</v>
      </c>
      <c r="D49" s="2" t="str">
        <f>IFERROR(__xludf.DUMMYFUNCTION("IF(B49&lt;&gt;"""",GOOGLETRANSLATE(B49,""zh"",""en""),"""")"),"Tianjin")</f>
        <v>Tianjin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 t="s">
        <v>52</v>
      </c>
      <c r="C50" s="2" t="str">
        <f>IFERROR(__xludf.DUMMYFUNCTION("IF(B50&lt;&gt;"""",GOOGLETRANSLATE(B50,""zh"",""zh-TW""),"""")"),"餐館")</f>
        <v>餐館</v>
      </c>
      <c r="D50" s="2" t="str">
        <f>IFERROR(__xludf.DUMMYFUNCTION("IF(B50&lt;&gt;"""",GOOGLETRANSLATE(B50,""zh"",""en""),"""")"),"Restaurant")</f>
        <v>Restaurant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 t="s">
        <v>27</v>
      </c>
      <c r="C51" s="2" t="str">
        <f>IFERROR(__xludf.DUMMYFUNCTION("IF(B51&lt;&gt;"""",GOOGLETRANSLATE(B51,""zh"",""zh-TW""),"""")"),"長江")</f>
        <v>長江</v>
      </c>
      <c r="D51" s="2" t="str">
        <f>IFERROR(__xludf.DUMMYFUNCTION("IF(B51&lt;&gt;"""",GOOGLETRANSLATE(B51,""zh"",""en""),"""")"),"Yangtze")</f>
        <v>Yangtze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 t="s">
        <v>53</v>
      </c>
      <c r="C52" s="2" t="str">
        <f>IFERROR(__xludf.DUMMYFUNCTION("IF(B52&lt;&gt;"""",GOOGLETRANSLATE(B52,""zh"",""zh-TW""),"""")"),"到處")</f>
        <v>到處</v>
      </c>
      <c r="D52" s="2" t="str">
        <f>IFERROR(__xludf.DUMMYFUNCTION("IF(B52&lt;&gt;"""",GOOGLETRANSLATE(B52,""zh"",""en""),"""")"),"everywhere")</f>
        <v>everywhere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 t="s">
        <v>54</v>
      </c>
      <c r="C53" s="2" t="str">
        <f>IFERROR(__xludf.DUMMYFUNCTION("IF(B53&lt;&gt;"""",GOOGLETRANSLATE(B53,""zh"",""zh-TW""),"""")"),"地道")</f>
        <v>地道</v>
      </c>
      <c r="D53" s="2" t="str">
        <f>IFERROR(__xludf.DUMMYFUNCTION("IF(B53&lt;&gt;"""",GOOGLETRANSLATE(B53,""zh"",""en""),"""")"),"typical")</f>
        <v>typical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 t="s">
        <v>55</v>
      </c>
      <c r="C54" s="2" t="str">
        <f>IFERROR(__xludf.DUMMYFUNCTION("IF(B54&lt;&gt;"""",GOOGLETRANSLATE(B54,""zh"",""zh-TW""),"""")"),"地理")</f>
        <v>地理</v>
      </c>
      <c r="D54" s="2" t="str">
        <f>IFERROR(__xludf.DUMMYFUNCTION("IF(B54&lt;&gt;"""",GOOGLETRANSLATE(B54,""zh"",""en""),"""")"),"geography")</f>
        <v>geography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 t="s">
        <v>56</v>
      </c>
      <c r="C55" s="2" t="str">
        <f>IFERROR(__xludf.DUMMYFUNCTION("IF(B55&lt;&gt;"""",GOOGLETRANSLATE(B55,""zh"",""zh-TW""),"""")"),"地形")</f>
        <v>地形</v>
      </c>
      <c r="D55" s="2" t="str">
        <f>IFERROR(__xludf.DUMMYFUNCTION("IF(B55&lt;&gt;"""",GOOGLETRANSLATE(B55,""zh"",""en""),"""")"),"terrain")</f>
        <v>terrain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 t="s">
        <v>57</v>
      </c>
      <c r="C56" s="2" t="str">
        <f>IFERROR(__xludf.DUMMYFUNCTION("IF(B56&lt;&gt;"""",GOOGLETRANSLATE(B56,""zh"",""zh-TW""),"""")"),"海")</f>
        <v>海</v>
      </c>
      <c r="D56" s="2" t="str">
        <f>IFERROR(__xludf.DUMMYFUNCTION("IF(B56&lt;&gt;"""",GOOGLETRANSLATE(B56,""zh"",""en""),"""")"),"ocean")</f>
        <v>ocean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 t="s">
        <v>28</v>
      </c>
      <c r="C57" s="2" t="str">
        <f>IFERROR(__xludf.DUMMYFUNCTION("IF(B57&lt;&gt;"""",GOOGLETRANSLATE(B57,""zh"",""zh-TW""),"""")"),"歷史")</f>
        <v>歷史</v>
      </c>
      <c r="D57" s="2" t="str">
        <f>IFERROR(__xludf.DUMMYFUNCTION("IF(B57&lt;&gt;"""",GOOGLETRANSLATE(B57,""zh"",""en""),"""")"),"history")</f>
        <v>history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 t="s">
        <v>58</v>
      </c>
      <c r="C58" s="2" t="str">
        <f>IFERROR(__xludf.DUMMYFUNCTION("IF(B58&lt;&gt;"""",GOOGLETRANSLATE(B58,""zh"",""zh-TW""),"""")"),"路線")</f>
        <v>路線</v>
      </c>
      <c r="D58" s="2" t="str">
        <f>IFERROR(__xludf.DUMMYFUNCTION("IF(B58&lt;&gt;"""",GOOGLETRANSLATE(B58,""zh"",""en""),"""")"),"route")</f>
        <v>route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 t="s">
        <v>59</v>
      </c>
      <c r="C59" s="2" t="str">
        <f>IFERROR(__xludf.DUMMYFUNCTION("IF(B59&lt;&gt;"""",GOOGLETRANSLATE(B59,""zh"",""zh-TW""),"""")"),"旅客")</f>
        <v>旅客</v>
      </c>
      <c r="D59" s="2" t="str">
        <f>IFERROR(__xludf.DUMMYFUNCTION("IF(B59&lt;&gt;"""",GOOGLETRANSLATE(B59,""zh"",""en""),"""")"),"Traveler")</f>
        <v>Traveler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 t="s">
        <v>60</v>
      </c>
      <c r="C60" s="2" t="str">
        <f>IFERROR(__xludf.DUMMYFUNCTION("IF(B60&lt;&gt;"""",GOOGLETRANSLATE(B60,""zh"",""zh-TW""),"""")"),"旅遊")</f>
        <v>旅遊</v>
      </c>
      <c r="D60" s="2" t="str">
        <f>IFERROR(__xludf.DUMMYFUNCTION("IF(B60&lt;&gt;"""",GOOGLETRANSLATE(B60,""zh"",""en""),"""")"),"travel")</f>
        <v>travel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 t="s">
        <v>61</v>
      </c>
      <c r="C61" s="2" t="str">
        <f>IFERROR(__xludf.DUMMYFUNCTION("IF(B61&lt;&gt;"""",GOOGLETRANSLATE(B61,""zh"",""zh-TW""),"""")"),"馬路")</f>
        <v>馬路</v>
      </c>
      <c r="D61" s="2" t="str">
        <f>IFERROR(__xludf.DUMMYFUNCTION("IF(B61&lt;&gt;"""",GOOGLETRANSLATE(B61,""zh"",""en""),"""")"),"road")</f>
        <v>road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 t="s">
        <v>62</v>
      </c>
      <c r="C62" s="2" t="str">
        <f>IFERROR(__xludf.DUMMYFUNCTION("IF(B62&lt;&gt;"""",GOOGLETRANSLATE(B62,""zh"",""zh-TW""),"""")"),"面積")</f>
        <v>面積</v>
      </c>
      <c r="D62" s="2" t="str">
        <f>IFERROR(__xludf.DUMMYFUNCTION("IF(B62&lt;&gt;"""",GOOGLETRANSLATE(B62,""zh"",""en""),"""")"),"area")</f>
        <v>area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 t="s">
        <v>63</v>
      </c>
      <c r="C63" s="2" t="str">
        <f>IFERROR(__xludf.DUMMYFUNCTION("IF(B63&lt;&gt;"""",GOOGLETRANSLATE(B63,""zh"",""zh-TW""),"""")"),"墨西哥")</f>
        <v>墨西哥</v>
      </c>
      <c r="D63" s="2" t="str">
        <f>IFERROR(__xludf.DUMMYFUNCTION("IF(B63&lt;&gt;"""",GOOGLETRANSLATE(B63,""zh"",""en""),"""")"),"Mexico")</f>
        <v>Mexico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 t="s">
        <v>36</v>
      </c>
      <c r="C64" s="2" t="str">
        <f>IFERROR(__xludf.DUMMYFUNCTION("IF(B64&lt;&gt;"""",GOOGLETRANSLATE(B64,""zh"",""zh-TW""),"""")"),"新疆")</f>
        <v>新疆</v>
      </c>
      <c r="D64" s="2" t="str">
        <f>IFERROR(__xludf.DUMMYFUNCTION("IF(B64&lt;&gt;"""",GOOGLETRANSLATE(B64,""zh"",""en""),"""")"),"Xinjiang")</f>
        <v>Xinjiang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 t="s">
        <v>64</v>
      </c>
      <c r="C65" s="2" t="str">
        <f>IFERROR(__xludf.DUMMYFUNCTION("IF(B65&lt;&gt;"""",GOOGLETRANSLATE(B65,""zh"",""zh-TW""),"""")"),"沿海")</f>
        <v>沿海</v>
      </c>
      <c r="D65" s="2" t="str">
        <f>IFERROR(__xludf.DUMMYFUNCTION("IF(B65&lt;&gt;"""",GOOGLETRANSLATE(B65,""zh"",""en""),"""")"),"coastal")</f>
        <v>coastal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 t="s">
        <v>65</v>
      </c>
      <c r="C66" s="2" t="str">
        <f>IFERROR(__xludf.DUMMYFUNCTION("IF(B66&lt;&gt;"""",GOOGLETRANSLATE(B66,""zh"",""zh-TW""),"""")"),"一帶")</f>
        <v>一帶</v>
      </c>
      <c r="D66" s="2" t="str">
        <f>IFERROR(__xludf.DUMMYFUNCTION("IF(B66&lt;&gt;"""",GOOGLETRANSLATE(B66,""zh"",""en""),"""")"),"Area")</f>
        <v>Area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 t="s">
        <v>66</v>
      </c>
      <c r="C67" s="2" t="str">
        <f>IFERROR(__xludf.DUMMYFUNCTION("IF(B67&lt;&gt;"""",GOOGLETRANSLATE(B67,""zh"",""zh-TW""),"""")"),"雲南")</f>
        <v>雲南</v>
      </c>
      <c r="D67" s="2" t="str">
        <f>IFERROR(__xludf.DUMMYFUNCTION("IF(B67&lt;&gt;"""",GOOGLETRANSLATE(B67,""zh"",""en""),"""")"),"Yunnan")</f>
        <v>Yunnan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 t="s">
        <v>67</v>
      </c>
      <c r="C68" s="2" t="str">
        <f>IFERROR(__xludf.DUMMYFUNCTION("IF(B68&lt;&gt;"""",GOOGLETRANSLATE(B68,""zh"",""zh-TW""),"""")"),"高原")</f>
        <v>高原</v>
      </c>
      <c r="D68" s="2" t="str">
        <f>IFERROR(__xludf.DUMMYFUNCTION("IF(B68&lt;&gt;"""",GOOGLETRANSLATE(B68,""zh"",""en""),"""")"),"plateau")</f>
        <v>plateau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 t="s">
        <v>68</v>
      </c>
      <c r="C69" s="2" t="str">
        <f>IFERROR(__xludf.DUMMYFUNCTION("IF(B69&lt;&gt;"""",GOOGLETRANSLATE(B69,""zh"",""zh-TW""),"""")"),"宮殿")</f>
        <v>宮殿</v>
      </c>
      <c r="D69" s="2" t="str">
        <f>IFERROR(__xludf.DUMMYFUNCTION("IF(B69&lt;&gt;"""",GOOGLETRANSLATE(B69,""zh"",""en""),"""")"),"palace")</f>
        <v>palace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 t="s">
        <v>69</v>
      </c>
      <c r="C70" s="2" t="str">
        <f>IFERROR(__xludf.DUMMYFUNCTION("IF(B70&lt;&gt;"""",GOOGLETRANSLATE(B70,""zh"",""zh-TW""),"""")"),"購物")</f>
        <v>購物</v>
      </c>
      <c r="D70" s="2" t="str">
        <f>IFERROR(__xludf.DUMMYFUNCTION("IF(B70&lt;&gt;"""",GOOGLETRANSLATE(B70,""zh"",""en""),"""")"),"Shopping")</f>
        <v>Shopping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 t="s">
        <v>70</v>
      </c>
      <c r="C71" s="2" t="str">
        <f>IFERROR(__xludf.DUMMYFUNCTION("IF(B71&lt;&gt;"""",GOOGLETRANSLATE(B71,""zh"",""zh-TW""),"""")"),"古老")</f>
        <v>古老</v>
      </c>
      <c r="D71" s="2" t="str">
        <f>IFERROR(__xludf.DUMMYFUNCTION("IF(B71&lt;&gt;"""",GOOGLETRANSLATE(B71,""zh"",""en""),"""")"),"ancient")</f>
        <v>ancient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 t="s">
        <v>71</v>
      </c>
      <c r="C72" s="2" t="str">
        <f>IFERROR(__xludf.DUMMYFUNCTION("IF(B72&lt;&gt;"""",GOOGLETRANSLATE(B72,""zh"",""zh-TW""),"""")"),"掛(著)")</f>
        <v>掛(著)</v>
      </c>
      <c r="D72" s="2" t="str">
        <f>IFERROR(__xludf.DUMMYFUNCTION("IF(B72&lt;&gt;"""",GOOGLETRANSLATE(B72,""zh"",""en""),"""")"),"Hang ())")</f>
        <v>Hang ())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 t="s">
        <v>72</v>
      </c>
      <c r="C73" s="2" t="str">
        <f>IFERROR(__xludf.DUMMYFUNCTION("IF(B73&lt;&gt;"""",GOOGLETRANSLATE(B73,""zh"",""zh-TW""),"""")"),"擺著")</f>
        <v>擺著</v>
      </c>
      <c r="D73" s="2" t="str">
        <f>IFERROR(__xludf.DUMMYFUNCTION("IF(B73&lt;&gt;"""",GOOGLETRANSLATE(B73,""zh"",""en""),"""")"),"Put on")</f>
        <v>Put on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 t="s">
        <v>73</v>
      </c>
      <c r="C74" s="2" t="str">
        <f>IFERROR(__xludf.DUMMYFUNCTION("IF(B74&lt;&gt;"""",GOOGLETRANSLATE(B74,""zh"",""zh-TW""),"""")"),"海洋")</f>
        <v>海洋</v>
      </c>
      <c r="D74" s="2" t="str">
        <f>IFERROR(__xludf.DUMMYFUNCTION("IF(B74&lt;&gt;"""",GOOGLETRANSLATE(B74,""zh"",""en""),"""")"),"ocean")</f>
        <v>ocean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 t="s">
        <v>74</v>
      </c>
      <c r="C75" s="2" t="str">
        <f>IFERROR(__xludf.DUMMYFUNCTION("IF(B75&lt;&gt;"""",GOOGLETRANSLATE(B75,""zh"",""zh-TW""),"""")"),"畫畫")</f>
        <v>畫畫</v>
      </c>
      <c r="D75" s="2" t="str">
        <f>IFERROR(__xludf.DUMMYFUNCTION("IF(B75&lt;&gt;"""",GOOGLETRANSLATE(B75,""zh"",""en""),"""")"),"draw")</f>
        <v>draw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 t="s">
        <v>75</v>
      </c>
      <c r="C76" s="2" t="str">
        <f>IFERROR(__xludf.DUMMYFUNCTION("IF(B76&lt;&gt;"""",GOOGLETRANSLATE(B76,""zh"",""zh-TW""),"""")"),"紀念品")</f>
        <v>紀念品</v>
      </c>
      <c r="D76" s="2" t="str">
        <f>IFERROR(__xludf.DUMMYFUNCTION("IF(B76&lt;&gt;"""",GOOGLETRANSLATE(B76,""zh"",""en""),"""")"),"souvenir")</f>
        <v>souvenir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 t="s">
        <v>76</v>
      </c>
      <c r="C77" s="2" t="str">
        <f>IFERROR(__xludf.DUMMYFUNCTION("IF(B77&lt;&gt;"""",GOOGLETRANSLATE(B77,""zh"",""zh-TW""),"""")"),"減肥")</f>
        <v>減肥</v>
      </c>
      <c r="D77" s="2" t="str">
        <f>IFERROR(__xludf.DUMMYFUNCTION("IF(B77&lt;&gt;"""",GOOGLETRANSLATE(B77,""zh"",""en""),"""")"),"lose weight")</f>
        <v>lose weight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 t="s">
        <v>77</v>
      </c>
      <c r="C78" s="2" t="str">
        <f>IFERROR(__xludf.DUMMYFUNCTION("IF(B78&lt;&gt;"""",GOOGLETRANSLATE(B78,""zh"",""zh-TW""),"""")"),"健身房")</f>
        <v>健身房</v>
      </c>
      <c r="D78" s="2" t="str">
        <f>IFERROR(__xludf.DUMMYFUNCTION("IF(B78&lt;&gt;"""",GOOGLETRANSLATE(B78,""zh"",""en""),"""")"),"Gym")</f>
        <v>Gym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 t="s">
        <v>78</v>
      </c>
      <c r="C79" s="2" t="str">
        <f>IFERROR(__xludf.DUMMYFUNCTION("IF(B79&lt;&gt;"""",GOOGLETRANSLATE(B79,""zh"",""zh-TW""),"""")"),"昆明")</f>
        <v>昆明</v>
      </c>
      <c r="D79" s="2" t="str">
        <f>IFERROR(__xludf.DUMMYFUNCTION("IF(B79&lt;&gt;"""",GOOGLETRANSLATE(B79,""zh"",""en""),"""")"),"Kunming")</f>
        <v>Kunming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 t="s">
        <v>79</v>
      </c>
      <c r="C80" s="2" t="str">
        <f>IFERROR(__xludf.DUMMYFUNCTION("IF(B80&lt;&gt;"""",GOOGLETRANSLATE(B80,""zh"",""zh-TW""),"""")"),"美麗")</f>
        <v>美麗</v>
      </c>
      <c r="D80" s="2" t="str">
        <f>IFERROR(__xludf.DUMMYFUNCTION("IF(B80&lt;&gt;"""",GOOGLETRANSLATE(B80,""zh"",""en""),"""")"),"beauty")</f>
        <v>beauty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 t="s">
        <v>80</v>
      </c>
      <c r="C81" s="2" t="str">
        <f>IFERROR(__xludf.DUMMYFUNCTION("IF(B81&lt;&gt;"""",GOOGLETRANSLATE(B81,""zh"",""zh-TW""),"""")"),"門票")</f>
        <v>門票</v>
      </c>
      <c r="D81" s="2" t="str">
        <f>IFERROR(__xludf.DUMMYFUNCTION("IF(B81&lt;&gt;"""",GOOGLETRANSLATE(B81,""zh"",""en""),"""")"),"Ticket")</f>
        <v>Ticket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 t="s">
        <v>81</v>
      </c>
      <c r="C82" s="2" t="str">
        <f>IFERROR(__xludf.DUMMYFUNCTION("IF(B82&lt;&gt;"""",GOOGLETRANSLATE(B82,""zh"",""zh-TW""),"""")"),"牛仔褲")</f>
        <v>牛仔褲</v>
      </c>
      <c r="D82" s="2" t="str">
        <f>IFERROR(__xludf.DUMMYFUNCTION("IF(B82&lt;&gt;"""",GOOGLETRANSLATE(B82,""zh"",""en""),"""")"),"jeans")</f>
        <v>jeans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 t="s">
        <v>82</v>
      </c>
      <c r="C83" s="2" t="str">
        <f>IFERROR(__xludf.DUMMYFUNCTION("IF(B83&lt;&gt;"""",GOOGLETRANSLATE(B83,""zh"",""zh-TW""),"""")"),"爬山")</f>
        <v>爬山</v>
      </c>
      <c r="D83" s="2" t="str">
        <f>IFERROR(__xludf.DUMMYFUNCTION("IF(B83&lt;&gt;"""",GOOGLETRANSLATE(B83,""zh"",""en""),"""")"),"climb mountains")</f>
        <v>climb mountains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 t="s">
        <v>83</v>
      </c>
      <c r="C84" s="2" t="str">
        <f>IFERROR(__xludf.DUMMYFUNCTION("IF(B84&lt;&gt;"""",GOOGLETRANSLATE(B84,""zh"",""zh-TW""),"""")"),"奇怪")</f>
        <v>奇怪</v>
      </c>
      <c r="D84" s="2" t="str">
        <f>IFERROR(__xludf.DUMMYFUNCTION("IF(B84&lt;&gt;"""",GOOGLETRANSLATE(B84,""zh"",""en""),"""")"),"strangeness")</f>
        <v>strangeness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 t="s">
        <v>84</v>
      </c>
      <c r="C85" s="2" t="str">
        <f>IFERROR(__xludf.DUMMYFUNCTION("IF(B85&lt;&gt;"""",GOOGLETRANSLATE(B85,""zh"",""zh-TW""),"""")"),"旗袍")</f>
        <v>旗袍</v>
      </c>
      <c r="D85" s="2" t="str">
        <f>IFERROR(__xludf.DUMMYFUNCTION("IF(B85&lt;&gt;"""",GOOGLETRANSLATE(B85,""zh"",""en""),"""")"),"cheongsam")</f>
        <v>cheongsam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 t="s">
        <v>85</v>
      </c>
      <c r="C86" s="2" t="str">
        <f>IFERROR(__xludf.DUMMYFUNCTION("IF(B86&lt;&gt;"""",GOOGLETRANSLATE(B86,""zh"",""zh-TW""),"""")"),"牆")</f>
        <v>牆</v>
      </c>
      <c r="D86" s="2" t="str">
        <f>IFERROR(__xludf.DUMMYFUNCTION("IF(B86&lt;&gt;"""",GOOGLETRANSLATE(B86,""zh"",""en""),"""")"),"wall")</f>
        <v>wall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 t="s">
        <v>86</v>
      </c>
      <c r="C87" s="2" t="str">
        <f>IFERROR(__xludf.DUMMYFUNCTION("IF(B87&lt;&gt;"""",GOOGLETRANSLATE(B87,""zh"",""zh-TW""),"""")"),"圈")</f>
        <v>圈</v>
      </c>
      <c r="D87" s="2" t="str">
        <f>IFERROR(__xludf.DUMMYFUNCTION("IF(B87&lt;&gt;"""",GOOGLETRANSLATE(B87,""zh"",""en""),"""")"),"lock up")</f>
        <v>lock up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 t="s">
        <v>87</v>
      </c>
      <c r="C88" s="2" t="str">
        <f>IFERROR(__xludf.DUMMYFUNCTION("IF(B88&lt;&gt;"""",GOOGLETRANSLATE(B88,""zh"",""zh-TW""),"""")"),"人山人海")</f>
        <v>人山人海</v>
      </c>
      <c r="D88" s="2" t="str">
        <f>IFERROR(__xludf.DUMMYFUNCTION("IF(B88&lt;&gt;"""",GOOGLETRANSLATE(B88,""zh"",""en""),"""")"),"Crowded")</f>
        <v>Crowded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 t="s">
        <v>88</v>
      </c>
      <c r="C89" s="2" t="str">
        <f>IFERROR(__xludf.DUMMYFUNCTION("IF(B89&lt;&gt;"""",GOOGLETRANSLATE(B89,""zh"",""zh-TW""),"""")"),"身材")</f>
        <v>身材</v>
      </c>
      <c r="D89" s="2" t="str">
        <f>IFERROR(__xludf.DUMMYFUNCTION("IF(B89&lt;&gt;"""",GOOGLETRANSLATE(B89,""zh"",""en""),"""")"),"figure")</f>
        <v>figure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 t="s">
        <v>89</v>
      </c>
      <c r="C90" s="2" t="str">
        <f>IFERROR(__xludf.DUMMYFUNCTION("IF(B90&lt;&gt;"""",GOOGLETRANSLATE(B90,""zh"",""zh-TW""),"""")"),"省會")</f>
        <v>省會</v>
      </c>
      <c r="D90" s="2" t="str">
        <f>IFERROR(__xludf.DUMMYFUNCTION("IF(B90&lt;&gt;"""",GOOGLETRANSLATE(B90,""zh"",""en""),"""")"),"provincial capital")</f>
        <v>provincial capital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 t="s">
        <v>90</v>
      </c>
      <c r="C91" s="2" t="str">
        <f>IFERROR(__xludf.DUMMYFUNCTION("IF(B91&lt;&gt;"""",GOOGLETRANSLATE(B91,""zh"",""zh-TW""),"""")"),"濕")</f>
        <v>濕</v>
      </c>
      <c r="D91" s="2" t="str">
        <f>IFERROR(__xludf.DUMMYFUNCTION("IF(B91&lt;&gt;"""",GOOGLETRANSLATE(B91,""zh"",""en""),"""")"),"wet")</f>
        <v>wet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 t="s">
        <v>91</v>
      </c>
      <c r="C92" s="2" t="str">
        <f>IFERROR(__xludf.DUMMYFUNCTION("IF(B92&lt;&gt;"""",GOOGLETRANSLATE(B92,""zh"",""zh-TW""),"""")"),"幹")</f>
        <v>幹</v>
      </c>
      <c r="D92" s="2" t="str">
        <f>IFERROR(__xludf.DUMMYFUNCTION("IF(B92&lt;&gt;"""",GOOGLETRANSLATE(B92,""zh"",""en""),"""")"),"Dry")</f>
        <v>Dry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 t="s">
        <v>92</v>
      </c>
      <c r="C93" s="2" t="str">
        <f>IFERROR(__xludf.DUMMYFUNCTION("IF(B93&lt;&gt;"""",GOOGLETRANSLATE(B93,""zh"",""zh-TW""),"""")"),"時髦")</f>
        <v>時髦</v>
      </c>
      <c r="D93" s="2" t="str">
        <f>IFERROR(__xludf.DUMMYFUNCTION("IF(B93&lt;&gt;"""",GOOGLETRANSLATE(B93,""zh"",""en""),"""")"),"fashionable")</f>
        <v>fashionable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 t="s">
        <v>93</v>
      </c>
      <c r="C94" s="2" t="str">
        <f>IFERROR(__xludf.DUMMYFUNCTION("IF(B94&lt;&gt;"""",GOOGLETRANSLATE(B94,""zh"",""zh-TW""),"""")"),"假山")</f>
        <v>假山</v>
      </c>
      <c r="D94" s="2" t="str">
        <f>IFERROR(__xludf.DUMMYFUNCTION("IF(B94&lt;&gt;"""",GOOGLETRANSLATE(B94,""zh"",""en""),"""")"),"rockery")</f>
        <v>rockery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 t="s">
        <v>94</v>
      </c>
      <c r="C95" s="2" t="str">
        <f>IFERROR(__xludf.DUMMYFUNCTION("IF(B95&lt;&gt;"""",GOOGLETRANSLATE(B95,""zh"",""zh-TW""),"""")"),"石頭")</f>
        <v>石頭</v>
      </c>
      <c r="D95" s="2" t="str">
        <f>IFERROR(__xludf.DUMMYFUNCTION("IF(B95&lt;&gt;"""",GOOGLETRANSLATE(B95,""zh"",""en""),"""")"),"Stone")</f>
        <v>Stone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 t="s">
        <v>95</v>
      </c>
      <c r="C96" s="2" t="str">
        <f>IFERROR(__xludf.DUMMYFUNCTION("IF(B96&lt;&gt;"""",GOOGLETRANSLATE(B96,""zh"",""zh-TW""),"""")"),"石林")</f>
        <v>石林</v>
      </c>
      <c r="D96" s="2" t="str">
        <f>IFERROR(__xludf.DUMMYFUNCTION("IF(B96&lt;&gt;"""",GOOGLETRANSLATE(B96,""zh"",""en""),"""")"),"stone forest")</f>
        <v>stone forest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 t="s">
        <v>96</v>
      </c>
      <c r="C97" s="2" t="str">
        <f>IFERROR(__xludf.DUMMYFUNCTION("IF(B97&lt;&gt;"""",GOOGLETRANSLATE(B97,""zh"",""zh-TW""),"""")"),"園林")</f>
        <v>園林</v>
      </c>
      <c r="D97" s="2" t="str">
        <f>IFERROR(__xludf.DUMMYFUNCTION("IF(B97&lt;&gt;"""",GOOGLETRANSLATE(B97,""zh"",""en""),"""")"),"garden")</f>
        <v>garden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 t="s">
        <v>97</v>
      </c>
      <c r="C98" s="2" t="str">
        <f>IFERROR(__xludf.DUMMYFUNCTION("IF(B98&lt;&gt;"""",GOOGLETRANSLATE(B98,""zh"",""zh-TW""),"""")"),"絲綢")</f>
        <v>絲綢</v>
      </c>
      <c r="D98" s="2" t="str">
        <f>IFERROR(__xludf.DUMMYFUNCTION("IF(B98&lt;&gt;"""",GOOGLETRANSLATE(B98,""zh"",""en""),"""")"),"silk")</f>
        <v>silk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 t="s">
        <v>35</v>
      </c>
      <c r="C99" s="2" t="str">
        <f>IFERROR(__xludf.DUMMYFUNCTION("IF(B99&lt;&gt;"""",GOOGLETRANSLATE(B99,""zh"",""zh-TW""),"""")"),"四川")</f>
        <v>四川</v>
      </c>
      <c r="D99" s="2" t="str">
        <f>IFERROR(__xludf.DUMMYFUNCTION("IF(B99&lt;&gt;"""",GOOGLETRANSLATE(B99,""zh"",""en""),"""")"),"Sichuan")</f>
        <v>Sichuan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 t="s">
        <v>98</v>
      </c>
      <c r="C100" s="2" t="str">
        <f>IFERROR(__xludf.DUMMYFUNCTION("IF(B100&lt;&gt;"""",GOOGLETRANSLATE(B100,""zh"",""zh-TW""),"""")"),"四季如春")</f>
        <v>四季如春</v>
      </c>
      <c r="D100" s="2" t="str">
        <f>IFERROR(__xludf.DUMMYFUNCTION("IF(B100&lt;&gt;"""",GOOGLETRANSLATE(B100,""zh"",""en""),"""")"),"The four seasons are like spring")</f>
        <v>The four seasons are like spring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 t="s">
        <v>99</v>
      </c>
      <c r="C101" s="2" t="str">
        <f>IFERROR(__xludf.DUMMYFUNCTION("IF(B101&lt;&gt;"""",GOOGLETRANSLATE(B101,""zh"",""zh-TW""),"""")"),"塔")</f>
        <v>塔</v>
      </c>
      <c r="D101" s="2" t="str">
        <f>IFERROR(__xludf.DUMMYFUNCTION("IF(B101&lt;&gt;"""",GOOGLETRANSLATE(B101,""zh"",""en""),"""")"),"tower")</f>
        <v>tower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 t="s">
        <v>100</v>
      </c>
      <c r="C102" s="2" t="str">
        <f>IFERROR(__xludf.DUMMYFUNCTION("IF(B102&lt;&gt;"""",GOOGLETRANSLATE(B102,""zh"",""zh-TW""),"""")"),"太極拳")</f>
        <v>太極拳</v>
      </c>
      <c r="D102" s="2" t="str">
        <f>IFERROR(__xludf.DUMMYFUNCTION("IF(B102&lt;&gt;"""",GOOGLETRANSLATE(B102,""zh"",""en""),"""")"),"Tai Chi")</f>
        <v>Tai Chi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 t="s">
        <v>101</v>
      </c>
      <c r="C103" s="2" t="str">
        <f>IFERROR(__xludf.DUMMYFUNCTION("IF(B103&lt;&gt;"""",GOOGLETRANSLATE(B103,""zh"",""zh-TW""),"""")"),"武術")</f>
        <v>武術</v>
      </c>
      <c r="D103" s="2" t="str">
        <f>IFERROR(__xludf.DUMMYFUNCTION("IF(B103&lt;&gt;"""",GOOGLETRANSLATE(B103,""zh"",""en""),"""")"),"Martial arts")</f>
        <v>Martial arts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 t="s">
        <v>102</v>
      </c>
      <c r="C104" s="2" t="str">
        <f>IFERROR(__xludf.DUMMYFUNCTION("IF(B104&lt;&gt;"""",GOOGLETRANSLATE(B104,""zh"",""zh-TW""),"""")"),"藝術")</f>
        <v>藝術</v>
      </c>
      <c r="D104" s="2" t="str">
        <f>IFERROR(__xludf.DUMMYFUNCTION("IF(B104&lt;&gt;"""",GOOGLETRANSLATE(B104,""zh"",""en""),"""")"),"Art")</f>
        <v>Art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 t="s">
        <v>103</v>
      </c>
      <c r="C105" s="2" t="str">
        <f>IFERROR(__xludf.DUMMYFUNCTION("IF(B105&lt;&gt;"""",GOOGLETRANSLATE(B105,""zh"",""zh-TW""),"""")"),"毯子")</f>
        <v>毯子</v>
      </c>
      <c r="D105" s="2" t="str">
        <f>IFERROR(__xludf.DUMMYFUNCTION("IF(B105&lt;&gt;"""",GOOGLETRANSLATE(B105,""zh"",""en""),"""")"),"blanket")</f>
        <v>blanket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 t="s">
        <v>104</v>
      </c>
      <c r="C106" s="2" t="str">
        <f>IFERROR(__xludf.DUMMYFUNCTION("IF(B106&lt;&gt;"""",GOOGLETRANSLATE(B106,""zh"",""zh-TW""),"""")"),"套裝")</f>
        <v>套裝</v>
      </c>
      <c r="D106" s="2" t="str">
        <f>IFERROR(__xludf.DUMMYFUNCTION("IF(B106&lt;&gt;"""",GOOGLETRANSLATE(B106,""zh"",""en""),"""")"),"Set")</f>
        <v>Set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 t="s">
        <v>105</v>
      </c>
      <c r="C107" s="2" t="str">
        <f>IFERROR(__xludf.DUMMYFUNCTION("IF(B107&lt;&gt;"""",GOOGLETRANSLATE(B107,""zh"",""zh-TW""),"""")"),"特色")</f>
        <v>特色</v>
      </c>
      <c r="D107" s="2" t="str">
        <f>IFERROR(__xludf.DUMMYFUNCTION("IF(B107&lt;&gt;"""",GOOGLETRANSLATE(B107,""zh"",""en""),"""")"),"feature")</f>
        <v>feature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 t="s">
        <v>106</v>
      </c>
      <c r="C108" s="2" t="str">
        <f>IFERROR(__xludf.DUMMYFUNCTION("IF(B108&lt;&gt;"""",GOOGLETRANSLATE(B108,""zh"",""zh-TW""),"""")"),"體貼")</f>
        <v>體貼</v>
      </c>
      <c r="D108" s="2" t="str">
        <f>IFERROR(__xludf.DUMMYFUNCTION("IF(B108&lt;&gt;"""",GOOGLETRANSLATE(B108,""zh"",""en""),"""")"),"Considerate")</f>
        <v>Considerate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 t="s">
        <v>107</v>
      </c>
      <c r="C109" s="2" t="str">
        <f>IFERROR(__xludf.DUMMYFUNCTION("IF(B109&lt;&gt;"""",GOOGLETRANSLATE(B109,""zh"",""zh-TW""),"""")"),"緯度")</f>
        <v>緯度</v>
      </c>
      <c r="D109" s="2" t="str">
        <f>IFERROR(__xludf.DUMMYFUNCTION("IF(B109&lt;&gt;"""",GOOGLETRANSLATE(B109,""zh"",""en""),"""")"),"latitude")</f>
        <v>latitude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 t="s">
        <v>108</v>
      </c>
      <c r="C110" s="2" t="str">
        <f>IFERROR(__xludf.DUMMYFUNCTION("IF(B110&lt;&gt;"""",GOOGLETRANSLATE(B110,""zh"",""zh-TW""),"""")"),"溫度")</f>
        <v>溫度</v>
      </c>
      <c r="D110" s="2" t="str">
        <f>IFERROR(__xludf.DUMMYFUNCTION("IF(B110&lt;&gt;"""",GOOGLETRANSLATE(B110,""zh"",""en""),"""")"),"temperature")</f>
        <v>temperature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 t="s">
        <v>109</v>
      </c>
      <c r="C111" s="2" t="str">
        <f>IFERROR(__xludf.DUMMYFUNCTION("IF(B111&lt;&gt;"""",GOOGLETRANSLATE(B111,""zh"",""zh-TW""),"""")"),"臥舖")</f>
        <v>臥舖</v>
      </c>
      <c r="D111" s="2" t="str">
        <f>IFERROR(__xludf.DUMMYFUNCTION("IF(B111&lt;&gt;"""",GOOGLETRANSLATE(B111,""zh"",""en""),"""")"),"Sleeper")</f>
        <v>Sleeper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 t="s">
        <v>110</v>
      </c>
      <c r="C112" s="2" t="str">
        <f>IFERROR(__xludf.DUMMYFUNCTION("IF(B112&lt;&gt;"""",GOOGLETRANSLATE(B112,""zh"",""zh-TW""),"""")"),"貓熊")</f>
        <v>貓熊</v>
      </c>
      <c r="D112" s="2" t="str">
        <f>IFERROR(__xludf.DUMMYFUNCTION("IF(B112&lt;&gt;"""",GOOGLETRANSLATE(B112,""zh"",""en""),"""")"),"panda")</f>
        <v>panda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 t="s">
        <v>111</v>
      </c>
      <c r="C113" s="2" t="str">
        <f>IFERROR(__xludf.DUMMYFUNCTION("IF(B113&lt;&gt;"""",GOOGLETRANSLATE(B113,""zh"",""zh-TW""),"""")"),"修身養性")</f>
        <v>修身養性</v>
      </c>
      <c r="D113" s="2" t="str">
        <f>IFERROR(__xludf.DUMMYFUNCTION("IF(B113&lt;&gt;"""",GOOGLETRANSLATE(B113,""zh"",""en""),"""")"),"Self -cultivation")</f>
        <v>Self -cultivation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 t="s">
        <v>64</v>
      </c>
      <c r="C114" s="2" t="str">
        <f>IFERROR(__xludf.DUMMYFUNCTION("IF(B114&lt;&gt;"""",GOOGLETRANSLATE(B114,""zh"",""zh-TW""),"""")"),"沿海")</f>
        <v>沿海</v>
      </c>
      <c r="D114" s="2" t="str">
        <f>IFERROR(__xludf.DUMMYFUNCTION("IF(B114&lt;&gt;"""",GOOGLETRANSLATE(B114,""zh"",""en""),"""")"),"coastal")</f>
        <v>coastal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 t="s">
        <v>112</v>
      </c>
      <c r="C115" s="2" t="str">
        <f>IFERROR(__xludf.DUMMYFUNCTION("IF(B115&lt;&gt;"""",GOOGLETRANSLATE(B115,""zh"",""zh-TW""),"""")"),"陰陽")</f>
        <v>陰陽</v>
      </c>
      <c r="D115" s="2" t="str">
        <f>IFERROR(__xludf.DUMMYFUNCTION("IF(B115&lt;&gt;"""",GOOGLETRANSLATE(B115,""zh"",""en""),"""")"),"yin and yang")</f>
        <v>yin and yang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 t="s">
        <v>40</v>
      </c>
      <c r="C116" s="2" t="str">
        <f>IFERROR(__xludf.DUMMYFUNCTION("IF(B116&lt;&gt;"""",GOOGLETRANSLATE(B116,""zh"",""zh-TW""),"""")"),"雜誌")</f>
        <v>雜誌</v>
      </c>
      <c r="D116" s="2" t="str">
        <f>IFERROR(__xludf.DUMMYFUNCTION("IF(B116&lt;&gt;"""",GOOGLETRANSLATE(B116,""zh"",""en""),"""")"),"Magazine")</f>
        <v>Magazine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 t="s">
        <v>113</v>
      </c>
      <c r="C117" s="2" t="str">
        <f>IFERROR(__xludf.DUMMYFUNCTION("IF(B117&lt;&gt;"""",GOOGLETRANSLATE(B117,""zh"",""zh-TW""),"""")"),"早晨")</f>
        <v>早晨</v>
      </c>
      <c r="D117" s="2" t="str">
        <f>IFERROR(__xludf.DUMMYFUNCTION("IF(B117&lt;&gt;"""",GOOGLETRANSLATE(B117,""zh"",""en""),"""")"),"morning")</f>
        <v>morning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 t="s">
        <v>114</v>
      </c>
      <c r="C118" s="2" t="str">
        <f>IFERROR(__xludf.DUMMYFUNCTION("IF(B118&lt;&gt;"""",GOOGLETRANSLATE(B118,""zh"",""zh-TW""),"""")"),"展覽館")</f>
        <v>展覽館</v>
      </c>
      <c r="D118" s="2" t="str">
        <f>IFERROR(__xludf.DUMMYFUNCTION("IF(B118&lt;&gt;"""",GOOGLETRANSLATE(B118,""zh"",""en""),"""")"),"Exhibition hall")</f>
        <v>Exhibition hall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 t="s">
        <v>115</v>
      </c>
      <c r="C119" s="2" t="str">
        <f>IFERROR(__xludf.DUMMYFUNCTION("IF(B119&lt;&gt;"""",GOOGLETRANSLATE(B119,""zh"",""zh-TW""),"""")"),"展廳")</f>
        <v>展廳</v>
      </c>
      <c r="D119" s="2" t="str">
        <f>IFERROR(__xludf.DUMMYFUNCTION("IF(B119&lt;&gt;"""",GOOGLETRANSLATE(B119,""zh"",""en""),"""")"),"Exhibition hall")</f>
        <v>Exhibition hall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 t="s">
        <v>116</v>
      </c>
      <c r="C120" s="2" t="str">
        <f>IFERROR(__xludf.DUMMYFUNCTION("IF(B120&lt;&gt;"""",GOOGLETRANSLATE(B120,""zh"",""zh-TW""),"""")"),"哲學")</f>
        <v>哲學</v>
      </c>
      <c r="D120" s="2" t="str">
        <f>IFERROR(__xludf.DUMMYFUNCTION("IF(B120&lt;&gt;"""",GOOGLETRANSLATE(B120,""zh"",""en""),"""")"),"philosophy")</f>
        <v>philosophy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 t="s">
        <v>117</v>
      </c>
      <c r="C121" s="2" t="str">
        <f>IFERROR(__xludf.DUMMYFUNCTION("IF(B121&lt;&gt;"""",GOOGLETRANSLATE(B121,""zh"",""zh-TW""),"""")"),"枕頭")</f>
        <v>枕頭</v>
      </c>
      <c r="D121" s="2" t="str">
        <f>IFERROR(__xludf.DUMMYFUNCTION("IF(B121&lt;&gt;"""",GOOGLETRANSLATE(B121,""zh"",""en""),"""")"),"Pillow")</f>
        <v>Pillow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