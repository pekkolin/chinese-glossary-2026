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+M2Pyxg9VwcAKsbIv4QYbrkV7BsVEe1r+aamF31QtE="/>
    </ext>
  </extLst>
</workbook>
</file>

<file path=xl/sharedStrings.xml><?xml version="1.0" encoding="utf-8"?>
<sst xmlns="http://schemas.openxmlformats.org/spreadsheetml/2006/main" count="164" uniqueCount="159">
  <si>
    <t xml:space="preserve">Feel free to catelogue the vocabulary, such as the family members, food, holidays, etc.                 </t>
  </si>
  <si>
    <t>拼音</t>
  </si>
  <si>
    <t>中文简体</t>
  </si>
  <si>
    <t>中文繁体</t>
  </si>
  <si>
    <t>英文</t>
  </si>
  <si>
    <t>独生子女</t>
  </si>
  <si>
    <t>家庭</t>
  </si>
  <si>
    <t>四世同堂</t>
  </si>
  <si>
    <t>望子成龙</t>
  </si>
  <si>
    <t>望女成凤</t>
  </si>
  <si>
    <t>传宗接代</t>
  </si>
  <si>
    <t>孝顺</t>
  </si>
  <si>
    <t>家长制‘</t>
  </si>
  <si>
    <t>计划生育</t>
  </si>
  <si>
    <t>多子女</t>
  </si>
  <si>
    <t>四二一家庭</t>
  </si>
  <si>
    <t>溺爱</t>
  </si>
  <si>
    <t>压力</t>
  </si>
  <si>
    <t>开放二胎</t>
  </si>
  <si>
    <t>长幼有序</t>
  </si>
  <si>
    <t>称呼</t>
  </si>
  <si>
    <t>人口</t>
  </si>
  <si>
    <t>增长</t>
  </si>
  <si>
    <t>控制</t>
  </si>
  <si>
    <t>传统</t>
  </si>
  <si>
    <t>长辈</t>
  </si>
  <si>
    <t>晚辈</t>
  </si>
  <si>
    <t>政府</t>
  </si>
  <si>
    <t>政策</t>
  </si>
  <si>
    <t>宠爱</t>
  </si>
  <si>
    <t>宝贝</t>
  </si>
  <si>
    <t>皇帝</t>
  </si>
  <si>
    <t>自私</t>
  </si>
  <si>
    <t>孤独</t>
  </si>
  <si>
    <t>弱点</t>
  </si>
  <si>
    <t xml:space="preserve">出生 </t>
  </si>
  <si>
    <t>父母</t>
  </si>
  <si>
    <t>讨论</t>
  </si>
  <si>
    <t>受到</t>
  </si>
  <si>
    <t>条件</t>
  </si>
  <si>
    <t>童年</t>
  </si>
  <si>
    <t>良好教育</t>
  </si>
  <si>
    <t>存钱</t>
  </si>
  <si>
    <t>收入</t>
  </si>
  <si>
    <t>指出</t>
  </si>
  <si>
    <t>课后班</t>
  </si>
  <si>
    <t>心事</t>
  </si>
  <si>
    <t>心情</t>
  </si>
  <si>
    <t>校内</t>
  </si>
  <si>
    <t>校外</t>
  </si>
  <si>
    <t>相处</t>
  </si>
  <si>
    <t>新闻</t>
  </si>
  <si>
    <t>侄女</t>
  </si>
  <si>
    <t>指导</t>
  </si>
  <si>
    <t>尊重</t>
  </si>
  <si>
    <t>赚钱</t>
  </si>
  <si>
    <t>自然</t>
  </si>
  <si>
    <t>知识</t>
  </si>
  <si>
    <t>爷爷</t>
  </si>
  <si>
    <t>奶奶</t>
  </si>
  <si>
    <t>上机</t>
  </si>
  <si>
    <t>做瑜伽</t>
  </si>
  <si>
    <t>零用钱</t>
  </si>
  <si>
    <t>闹别扭</t>
  </si>
  <si>
    <t>可靠</t>
  </si>
  <si>
    <t>安排</t>
  </si>
  <si>
    <t>大人</t>
  </si>
  <si>
    <t>道理</t>
  </si>
  <si>
    <t>儿童</t>
  </si>
  <si>
    <t>乖</t>
  </si>
  <si>
    <t>管</t>
  </si>
  <si>
    <t>家长</t>
  </si>
  <si>
    <t>教育</t>
  </si>
  <si>
    <t>厉害</t>
  </si>
  <si>
    <t>美满</t>
  </si>
  <si>
    <t>虎妈</t>
  </si>
  <si>
    <t>育儿</t>
  </si>
  <si>
    <t>贫</t>
  </si>
  <si>
    <t>省（下来）</t>
  </si>
  <si>
    <t>家教</t>
  </si>
  <si>
    <t>美国梦</t>
  </si>
  <si>
    <t>快乐童年</t>
  </si>
  <si>
    <t>衣食住行</t>
  </si>
  <si>
    <t>起跑线</t>
  </si>
  <si>
    <t>发生</t>
  </si>
  <si>
    <t>棍棒教育</t>
  </si>
  <si>
    <t>好看</t>
  </si>
  <si>
    <t>口水</t>
  </si>
  <si>
    <t>口味</t>
  </si>
  <si>
    <t>嫩</t>
  </si>
  <si>
    <t>放心</t>
  </si>
  <si>
    <t>分别</t>
  </si>
  <si>
    <t>风俗</t>
  </si>
  <si>
    <t>福</t>
  </si>
  <si>
    <t>感恩节</t>
  </si>
  <si>
    <t>咕噜肉</t>
  </si>
  <si>
    <t>姑妈</t>
  </si>
  <si>
    <t>关照</t>
  </si>
  <si>
    <t>关系</t>
  </si>
  <si>
    <t>归来</t>
  </si>
  <si>
    <t>柜子</t>
  </si>
  <si>
    <t>红包</t>
  </si>
  <si>
    <t>火锅</t>
  </si>
  <si>
    <t>家务</t>
  </si>
  <si>
    <t>家乡</t>
  </si>
  <si>
    <t>饯行</t>
  </si>
  <si>
    <t>奖学金</t>
  </si>
  <si>
    <t>接风</t>
  </si>
  <si>
    <t>接近</t>
  </si>
  <si>
    <t>结婚</t>
  </si>
  <si>
    <t>解释</t>
  </si>
  <si>
    <t>姐妹</t>
  </si>
  <si>
    <t>酒</t>
  </si>
  <si>
    <t>舅舅(妈)</t>
  </si>
  <si>
    <t>联欢会</t>
  </si>
  <si>
    <t>聚会</t>
  </si>
  <si>
    <t>晚会</t>
  </si>
  <si>
    <t>快餐</t>
  </si>
  <si>
    <t>筷子</t>
  </si>
  <si>
    <t>老年</t>
  </si>
  <si>
    <t>老太太</t>
  </si>
  <si>
    <t>理解</t>
  </si>
  <si>
    <t>了解</t>
  </si>
  <si>
    <t>联系</t>
  </si>
  <si>
    <t>矛盾</t>
  </si>
  <si>
    <t>年轻</t>
  </si>
  <si>
    <t>农历</t>
  </si>
  <si>
    <t>陪</t>
  </si>
  <si>
    <t>夫妻</t>
  </si>
  <si>
    <t>妻管炎</t>
  </si>
  <si>
    <t>未婚妻</t>
  </si>
  <si>
    <t>妻子</t>
  </si>
  <si>
    <t>丈夫</t>
  </si>
  <si>
    <t>气氛</t>
  </si>
  <si>
    <t>千千万万</t>
  </si>
  <si>
    <t>清淡</t>
  </si>
  <si>
    <t>清蒸</t>
  </si>
  <si>
    <t>庆祝</t>
  </si>
  <si>
    <t>祝贺</t>
  </si>
  <si>
    <t>热闹</t>
  </si>
  <si>
    <t>认为</t>
  </si>
  <si>
    <t>以为</t>
  </si>
  <si>
    <t>嫂子</t>
  </si>
  <si>
    <t>社会</t>
  </si>
  <si>
    <t>生活</t>
  </si>
  <si>
    <t>熟悉</t>
  </si>
  <si>
    <t>思考</t>
  </si>
  <si>
    <t>思想</t>
  </si>
  <si>
    <t>孙女</t>
  </si>
  <si>
    <t>孙子</t>
  </si>
  <si>
    <t>团圆</t>
  </si>
  <si>
    <t>握手</t>
  </si>
  <si>
    <t>礼物</t>
  </si>
  <si>
    <t>幸福</t>
  </si>
  <si>
    <t>拥抱</t>
  </si>
  <si>
    <t>元宵节</t>
  </si>
  <si>
    <t>月饼</t>
  </si>
  <si>
    <t>正月</t>
  </si>
  <si>
    <t>粽子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</si>
</sst>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2.63"/>
    <col customWidth="1" min="3" max="3" width="11.63"/>
    <col customWidth="1" min="4" max="4" width="21.0"/>
    <col customWidth="1" min="5" max="5" width="13.38"/>
    <col customWidth="1" min="6" max="7" width="12.63"/>
  </cols>
  <sheetData>
    <row r="1" ht="15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4" t="s">
        <v>2</v>
      </c>
      <c r="C2" s="4" t="s">
        <v>3</v>
      </c>
      <c r="D2" s="3" t="s">
        <v>4</v>
      </c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2"/>
      <c r="B3" s="2" t="s">
        <v>5</v>
      </c>
      <c r="C3" s="2" t="str">
        <f>IFERROR(__xludf.DUMMYFUNCTION("IF(B3&lt;&gt;"""",GOOGLETRANSLATE(B3,""zh"",""zh-TW""),"""")"),"獨生子女")</f>
        <v>獨生子女</v>
      </c>
      <c r="D3" s="2" t="str">
        <f>IFERROR(__xludf.DUMMYFUNCTION("IF(B3&lt;&gt;"""",GOOGLETRANSLATE(B3,""zh"",""en""),"""")"),"Only child")</f>
        <v>Only child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2"/>
      <c r="B4" s="2" t="s">
        <v>6</v>
      </c>
      <c r="C4" s="2" t="str">
        <f>IFERROR(__xludf.DUMMYFUNCTION("IF(B4&lt;&gt;"""",GOOGLETRANSLATE(B4,""zh"",""zh-TW""),"""")"),"家庭")</f>
        <v>家庭</v>
      </c>
      <c r="D4" s="2" t="str">
        <f>IFERROR(__xludf.DUMMYFUNCTION("IF(B4&lt;&gt;"""",GOOGLETRANSLATE(B4,""zh"",""en""),"""")"),"family")</f>
        <v>family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2"/>
      <c r="B5" s="2" t="s">
        <v>7</v>
      </c>
      <c r="C5" s="2" t="str">
        <f>IFERROR(__xludf.DUMMYFUNCTION("IF(B5&lt;&gt;"""",GOOGLETRANSLATE(B5,""zh"",""zh-TW""),"""")"),"四世同堂")</f>
        <v>四世同堂</v>
      </c>
      <c r="D5" s="2" t="str">
        <f>IFERROR(__xludf.DUMMYFUNCTION("IF(B5&lt;&gt;"""",GOOGLETRANSLATE(B5,""zh"",""en""),"""")"),"Fourth generation")</f>
        <v>Fourth generation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2"/>
      <c r="B6" s="2" t="s">
        <v>8</v>
      </c>
      <c r="C6" s="2" t="str">
        <f>IFERROR(__xludf.DUMMYFUNCTION("IF(B6&lt;&gt;"""",GOOGLETRANSLATE(B6,""zh"",""zh-TW""),"""")"),"望子成龍")</f>
        <v>望子成龍</v>
      </c>
      <c r="D6" s="2" t="str">
        <f>IFERROR(__xludf.DUMMYFUNCTION("IF(B6&lt;&gt;"""",GOOGLETRANSLATE(B6,""zh"",""en""),"""")"),"Wang Zijian")</f>
        <v>Wang Zijian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2"/>
      <c r="B7" s="2" t="s">
        <v>9</v>
      </c>
      <c r="C7" s="2" t="str">
        <f>IFERROR(__xludf.DUMMYFUNCTION("IF(B7&lt;&gt;"""",GOOGLETRANSLATE(B7,""zh"",""zh-TW""),"""")"),"望女成鳳")</f>
        <v>望女成鳳</v>
      </c>
      <c r="D7" s="2" t="str">
        <f>IFERROR(__xludf.DUMMYFUNCTION("IF(B7&lt;&gt;"""",GOOGLETRANSLATE(B7,""zh"",""en""),"""")"),"Hope to become a female")</f>
        <v>Hope to become a female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2"/>
      <c r="B8" s="2" t="s">
        <v>10</v>
      </c>
      <c r="C8" s="2" t="str">
        <f>IFERROR(__xludf.DUMMYFUNCTION("IF(B8&lt;&gt;"""",GOOGLETRANSLATE(B8,""zh"",""zh-TW""),"""")"),"傳宗接代")</f>
        <v>傳宗接代</v>
      </c>
      <c r="D8" s="2" t="str">
        <f>IFERROR(__xludf.DUMMYFUNCTION("IF(B8&lt;&gt;"""",GOOGLETRANSLATE(B8,""zh"",""en""),"""")"),"Chuanzong")</f>
        <v>Chuanzong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2"/>
      <c r="B9" s="2" t="s">
        <v>11</v>
      </c>
      <c r="C9" s="2" t="str">
        <f>IFERROR(__xludf.DUMMYFUNCTION("IF(B9&lt;&gt;"""",GOOGLETRANSLATE(B9,""zh"",""zh-TW""),"""")"),"孝順")</f>
        <v>孝順</v>
      </c>
      <c r="D9" s="2" t="str">
        <f>IFERROR(__xludf.DUMMYFUNCTION("IF(B9&lt;&gt;"""",GOOGLETRANSLATE(B9,""zh"",""en""),"""")"),"Filial piety")</f>
        <v>Filial piety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2"/>
      <c r="B10" s="2" t="s">
        <v>12</v>
      </c>
      <c r="C10" s="2" t="str">
        <f>IFERROR(__xludf.DUMMYFUNCTION("IF(B10&lt;&gt;"""",GOOGLETRANSLATE(B10,""zh"",""zh-TW""),"""")"),"家長制‘")</f>
        <v>家長制‘</v>
      </c>
      <c r="D10" s="2" t="str">
        <f>IFERROR(__xludf.DUMMYFUNCTION("IF(B10&lt;&gt;"""",GOOGLETRANSLATE(B10,""zh"",""en""),"""")"),"Parental system '")</f>
        <v>Parental system '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2"/>
      <c r="B11" s="2" t="s">
        <v>13</v>
      </c>
      <c r="C11" s="2" t="str">
        <f>IFERROR(__xludf.DUMMYFUNCTION("IF(B11&lt;&gt;"""",GOOGLETRANSLATE(B11,""zh"",""zh-TW""),"""")"),"計劃生育")</f>
        <v>計劃生育</v>
      </c>
      <c r="D11" s="2" t="str">
        <f>IFERROR(__xludf.DUMMYFUNCTION("IF(B11&lt;&gt;"""",GOOGLETRANSLATE(B11,""zh"",""en""),"""")"),"family planning")</f>
        <v>family planning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2"/>
      <c r="B12" s="2" t="s">
        <v>14</v>
      </c>
      <c r="C12" s="2" t="str">
        <f>IFERROR(__xludf.DUMMYFUNCTION("IF(B12&lt;&gt;"""",GOOGLETRANSLATE(B12,""zh"",""zh-TW""),"""")"),"多子女")</f>
        <v>多子女</v>
      </c>
      <c r="D12" s="2" t="str">
        <f>IFERROR(__xludf.DUMMYFUNCTION("IF(B12&lt;&gt;"""",GOOGLETRANSLATE(B12,""zh"",""en""),"""")"),"Multi -child")</f>
        <v>Multi -child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2"/>
      <c r="B13" s="2" t="s">
        <v>15</v>
      </c>
      <c r="C13" s="2" t="str">
        <f>IFERROR(__xludf.DUMMYFUNCTION("IF(B13&lt;&gt;"""",GOOGLETRANSLATE(B13,""zh"",""zh-TW""),"""")"),"四二一家庭")</f>
        <v>四二一家庭</v>
      </c>
      <c r="D13" s="2" t="str">
        <f>IFERROR(__xludf.DUMMYFUNCTION("IF(B13&lt;&gt;"""",GOOGLETRANSLATE(B13,""zh"",""en""),"""")"),"Four Twenty -two Family")</f>
        <v>Four Twenty -two Family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2"/>
      <c r="B14" s="2" t="s">
        <v>16</v>
      </c>
      <c r="C14" s="2" t="str">
        <f>IFERROR(__xludf.DUMMYFUNCTION("IF(B14&lt;&gt;"""",GOOGLETRANSLATE(B14,""zh"",""zh-TW""),"""")"),"溺愛")</f>
        <v>溺愛</v>
      </c>
      <c r="D14" s="2" t="str">
        <f>IFERROR(__xludf.DUMMYFUNCTION("IF(B14&lt;&gt;"""",GOOGLETRANSLATE(B14,""zh"",""en""),"""")"),"spoil")</f>
        <v>spoil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2"/>
      <c r="B15" s="2" t="s">
        <v>17</v>
      </c>
      <c r="C15" s="2" t="str">
        <f>IFERROR(__xludf.DUMMYFUNCTION("IF(B15&lt;&gt;"""",GOOGLETRANSLATE(B15,""zh"",""zh-TW""),"""")"),"壓力")</f>
        <v>壓力</v>
      </c>
      <c r="D15" s="2" t="str">
        <f>IFERROR(__xludf.DUMMYFUNCTION("IF(B15&lt;&gt;"""",GOOGLETRANSLATE(B15,""zh"",""en""),"""")"),"pressure")</f>
        <v>pressure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2"/>
      <c r="B16" s="2" t="s">
        <v>18</v>
      </c>
      <c r="C16" s="2" t="str">
        <f>IFERROR(__xludf.DUMMYFUNCTION("IF(B16&lt;&gt;"""",GOOGLETRANSLATE(B16,""zh"",""zh-TW""),"""")"),"開放二胎")</f>
        <v>開放二胎</v>
      </c>
      <c r="D16" s="2" t="str">
        <f>IFERROR(__xludf.DUMMYFUNCTION("IF(B16&lt;&gt;"""",GOOGLETRANSLATE(B16,""zh"",""en""),"""")"),"Open second child")</f>
        <v>Open second child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2"/>
      <c r="B17" s="2" t="s">
        <v>19</v>
      </c>
      <c r="C17" s="2" t="str">
        <f>IFERROR(__xludf.DUMMYFUNCTION("IF(B17&lt;&gt;"""",GOOGLETRANSLATE(B17,""zh"",""zh-TW""),"""")"),"長幼有序")</f>
        <v>長幼有序</v>
      </c>
      <c r="D17" s="2" t="str">
        <f>IFERROR(__xludf.DUMMYFUNCTION("IF(B17&lt;&gt;"""",GOOGLETRANSLATE(B17,""zh"",""en""),"""")"),"Own order")</f>
        <v>Own order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2"/>
      <c r="B18" s="2" t="s">
        <v>20</v>
      </c>
      <c r="C18" s="2" t="str">
        <f>IFERROR(__xludf.DUMMYFUNCTION("IF(B18&lt;&gt;"""",GOOGLETRANSLATE(B18,""zh"",""zh-TW""),"""")"),"稱呼")</f>
        <v>稱呼</v>
      </c>
      <c r="D18" s="2" t="str">
        <f>IFERROR(__xludf.DUMMYFUNCTION("IF(B18&lt;&gt;"""",GOOGLETRANSLATE(B18,""zh"",""en""),"""")"),"call")</f>
        <v>call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2"/>
      <c r="B19" s="2" t="s">
        <v>21</v>
      </c>
      <c r="C19" s="2" t="str">
        <f>IFERROR(__xludf.DUMMYFUNCTION("IF(B19&lt;&gt;"""",GOOGLETRANSLATE(B19,""zh"",""zh-TW""),"""")"),"人口")</f>
        <v>人口</v>
      </c>
      <c r="D19" s="2" t="str">
        <f>IFERROR(__xludf.DUMMYFUNCTION("IF(B19&lt;&gt;"""",GOOGLETRANSLATE(B19,""zh"",""en""),"""")"),"population")</f>
        <v>population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75" customHeight="1">
      <c r="A20" s="2"/>
      <c r="B20" s="2" t="s">
        <v>22</v>
      </c>
      <c r="C20" s="2" t="str">
        <f>IFERROR(__xludf.DUMMYFUNCTION("IF(B20&lt;&gt;"""",GOOGLETRANSLATE(B20,""zh"",""zh-TW""),"""")"),"增長")</f>
        <v>增長</v>
      </c>
      <c r="D20" s="2" t="str">
        <f>IFERROR(__xludf.DUMMYFUNCTION("IF(B20&lt;&gt;"""",GOOGLETRANSLATE(B20,""zh"",""en""),"""")"),"increase")</f>
        <v>increase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2"/>
      <c r="B21" s="2" t="s">
        <v>23</v>
      </c>
      <c r="C21" s="2" t="str">
        <f>IFERROR(__xludf.DUMMYFUNCTION("IF(B21&lt;&gt;"""",GOOGLETRANSLATE(B21,""zh"",""zh-TW""),"""")"),"控制")</f>
        <v>控制</v>
      </c>
      <c r="D21" s="2" t="str">
        <f>IFERROR(__xludf.DUMMYFUNCTION("IF(B21&lt;&gt;"""",GOOGLETRANSLATE(B21,""zh"",""en""),"""")"),"control")</f>
        <v>control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2"/>
      <c r="B22" s="2" t="s">
        <v>24</v>
      </c>
      <c r="C22" s="2" t="str">
        <f>IFERROR(__xludf.DUMMYFUNCTION("IF(B22&lt;&gt;"""",GOOGLETRANSLATE(B22,""zh"",""zh-TW""),"""")"),"傳統")</f>
        <v>傳統</v>
      </c>
      <c r="D22" s="2" t="str">
        <f>IFERROR(__xludf.DUMMYFUNCTION("IF(B22&lt;&gt;"""",GOOGLETRANSLATE(B22,""zh"",""en""),"""")"),"Tradition")</f>
        <v>Tradition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2"/>
      <c r="B23" s="2" t="s">
        <v>25</v>
      </c>
      <c r="C23" s="2" t="str">
        <f>IFERROR(__xludf.DUMMYFUNCTION("IF(B23&lt;&gt;"""",GOOGLETRANSLATE(B23,""zh"",""zh-TW""),"""")"),"長輩")</f>
        <v>長輩</v>
      </c>
      <c r="D23" s="2" t="str">
        <f>IFERROR(__xludf.DUMMYFUNCTION("IF(B23&lt;&gt;"""",GOOGLETRANSLATE(B23,""zh"",""en""),"""")"),"elder")</f>
        <v>elder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2"/>
      <c r="B24" s="2" t="s">
        <v>26</v>
      </c>
      <c r="C24" s="2" t="str">
        <f>IFERROR(__xludf.DUMMYFUNCTION("IF(B24&lt;&gt;"""",GOOGLETRANSLATE(B24,""zh"",""zh-TW""),"""")"),"晚輩")</f>
        <v>晚輩</v>
      </c>
      <c r="D24" s="2" t="str">
        <f>IFERROR(__xludf.DUMMYFUNCTION("IF(B24&lt;&gt;"""",GOOGLETRANSLATE(B24,""zh"",""en""),"""")"),"younger generation")</f>
        <v>younger generation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2"/>
      <c r="B25" s="2" t="s">
        <v>27</v>
      </c>
      <c r="C25" s="2" t="str">
        <f>IFERROR(__xludf.DUMMYFUNCTION("IF(B25&lt;&gt;"""",GOOGLETRANSLATE(B25,""zh"",""zh-TW""),"""")"),"政府")</f>
        <v>政府</v>
      </c>
      <c r="D25" s="2" t="str">
        <f>IFERROR(__xludf.DUMMYFUNCTION("IF(B25&lt;&gt;"""",GOOGLETRANSLATE(B25,""zh"",""en""),"""")"),"government")</f>
        <v>government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2"/>
      <c r="B26" s="2" t="s">
        <v>28</v>
      </c>
      <c r="C26" s="2" t="str">
        <f>IFERROR(__xludf.DUMMYFUNCTION("IF(B26&lt;&gt;"""",GOOGLETRANSLATE(B26,""zh"",""zh-TW""),"""")"),"政策")</f>
        <v>政策</v>
      </c>
      <c r="D26" s="2" t="str">
        <f>IFERROR(__xludf.DUMMYFUNCTION("IF(B26&lt;&gt;"""",GOOGLETRANSLATE(B26,""zh"",""en""),"""")"),"policy")</f>
        <v>policy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2"/>
      <c r="B27" s="2" t="s">
        <v>29</v>
      </c>
      <c r="C27" s="2" t="str">
        <f>IFERROR(__xludf.DUMMYFUNCTION("IF(B27&lt;&gt;"""",GOOGLETRANSLATE(B27,""zh"",""zh-TW""),"""")"),"寵愛")</f>
        <v>寵愛</v>
      </c>
      <c r="D27" s="2" t="str">
        <f>IFERROR(__xludf.DUMMYFUNCTION("IF(B27&lt;&gt;"""",GOOGLETRANSLATE(B27,""zh"",""en""),"""")"),"pet")</f>
        <v>pet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2"/>
      <c r="B28" s="2" t="s">
        <v>30</v>
      </c>
      <c r="C28" s="2" t="str">
        <f>IFERROR(__xludf.DUMMYFUNCTION("IF(B28&lt;&gt;"""",GOOGLETRANSLATE(B28,""zh"",""zh-TW""),"""")"),"寶貝")</f>
        <v>寶貝</v>
      </c>
      <c r="D28" s="2" t="str">
        <f>IFERROR(__xludf.DUMMYFUNCTION("IF(B28&lt;&gt;"""",GOOGLETRANSLATE(B28,""zh"",""en""),"""")"),"baby")</f>
        <v>baby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2"/>
      <c r="B29" s="2" t="s">
        <v>31</v>
      </c>
      <c r="C29" s="2" t="str">
        <f>IFERROR(__xludf.DUMMYFUNCTION("IF(B29&lt;&gt;"""",GOOGLETRANSLATE(B29,""zh"",""zh-TW""),"""")"),"皇帝")</f>
        <v>皇帝</v>
      </c>
      <c r="D29" s="2" t="str">
        <f>IFERROR(__xludf.DUMMYFUNCTION("IF(B29&lt;&gt;"""",GOOGLETRANSLATE(B29,""zh"",""en""),"""")"),"emperor")</f>
        <v>emperor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2"/>
      <c r="B30" s="2" t="s">
        <v>32</v>
      </c>
      <c r="C30" s="2" t="str">
        <f>IFERROR(__xludf.DUMMYFUNCTION("IF(B30&lt;&gt;"""",GOOGLETRANSLATE(B30,""zh"",""zh-TW""),"""")"),"自私")</f>
        <v>自私</v>
      </c>
      <c r="D30" s="2" t="str">
        <f>IFERROR(__xludf.DUMMYFUNCTION("IF(B30&lt;&gt;"""",GOOGLETRANSLATE(B30,""zh"",""en""),"""")"),"Selfish")</f>
        <v>Selfish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"/>
      <c r="B31" s="2" t="s">
        <v>33</v>
      </c>
      <c r="C31" s="2" t="str">
        <f>IFERROR(__xludf.DUMMYFUNCTION("IF(B31&lt;&gt;"""",GOOGLETRANSLATE(B31,""zh"",""zh-TW""),"""")"),"孤獨")</f>
        <v>孤獨</v>
      </c>
      <c r="D31" s="2" t="str">
        <f>IFERROR(__xludf.DUMMYFUNCTION("IF(B31&lt;&gt;"""",GOOGLETRANSLATE(B31,""zh"",""en""),"""")"),"Lonely")</f>
        <v>Lonely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2" t="s">
        <v>34</v>
      </c>
      <c r="C32" s="2" t="str">
        <f>IFERROR(__xludf.DUMMYFUNCTION("IF(B32&lt;&gt;"""",GOOGLETRANSLATE(B32,""zh"",""zh-TW""),"""")"),"弱點")</f>
        <v>弱點</v>
      </c>
      <c r="D32" s="2" t="str">
        <f>IFERROR(__xludf.DUMMYFUNCTION("IF(B32&lt;&gt;"""",GOOGLETRANSLATE(B32,""zh"",""en""),"""")"),"weakness")</f>
        <v>weakness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 t="s">
        <v>35</v>
      </c>
      <c r="C33" s="2" t="str">
        <f>IFERROR(__xludf.DUMMYFUNCTION("IF(B33&lt;&gt;"""",GOOGLETRANSLATE(B33,""zh"",""zh-TW""),"""")"),"出生 ")</f>
        <v>出生 </v>
      </c>
      <c r="D33" s="2" t="str">
        <f>IFERROR(__xludf.DUMMYFUNCTION("IF(B33&lt;&gt;"""",GOOGLETRANSLATE(B33,""zh"",""en""),"""")"),"born ")</f>
        <v>born 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 t="s">
        <v>36</v>
      </c>
      <c r="C34" s="2" t="str">
        <f>IFERROR(__xludf.DUMMYFUNCTION("IF(B34&lt;&gt;"""",GOOGLETRANSLATE(B34,""zh"",""zh-TW""),"""")"),"父母")</f>
        <v>父母</v>
      </c>
      <c r="D34" s="2" t="str">
        <f>IFERROR(__xludf.DUMMYFUNCTION("IF(B34&lt;&gt;"""",GOOGLETRANSLATE(B34,""zh"",""en""),"""")"),"parents")</f>
        <v>parents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 t="s">
        <v>37</v>
      </c>
      <c r="C35" s="2" t="str">
        <f>IFERROR(__xludf.DUMMYFUNCTION("IF(B35&lt;&gt;"""",GOOGLETRANSLATE(B35,""zh"",""zh-TW""),"""")"),"討論")</f>
        <v>討論</v>
      </c>
      <c r="D35" s="2" t="str">
        <f>IFERROR(__xludf.DUMMYFUNCTION("IF(B35&lt;&gt;"""",GOOGLETRANSLATE(B35,""zh"",""en""),"""")"),"discuss")</f>
        <v>discuss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 t="s">
        <v>38</v>
      </c>
      <c r="C36" s="2" t="str">
        <f>IFERROR(__xludf.DUMMYFUNCTION("IF(B36&lt;&gt;"""",GOOGLETRANSLATE(B36,""zh"",""zh-TW""),"""")"),"受到")</f>
        <v>受到</v>
      </c>
      <c r="D36" s="2" t="str">
        <f>IFERROR(__xludf.DUMMYFUNCTION("IF(B36&lt;&gt;"""",GOOGLETRANSLATE(B36,""zh"",""en""),"""")"),"Suffer")</f>
        <v>Suffer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 t="s">
        <v>39</v>
      </c>
      <c r="C37" s="2" t="str">
        <f>IFERROR(__xludf.DUMMYFUNCTION("IF(B37&lt;&gt;"""",GOOGLETRANSLATE(B37,""zh"",""zh-TW""),"""")"),"條件")</f>
        <v>條件</v>
      </c>
      <c r="D37" s="2" t="str">
        <f>IFERROR(__xludf.DUMMYFUNCTION("IF(B37&lt;&gt;"""",GOOGLETRANSLATE(B37,""zh"",""en""),"""")"),"condition")</f>
        <v>condition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 t="s">
        <v>40</v>
      </c>
      <c r="C38" s="2" t="str">
        <f>IFERROR(__xludf.DUMMYFUNCTION("IF(B38&lt;&gt;"""",GOOGLETRANSLATE(B38,""zh"",""zh-TW""),"""")"),"童年")</f>
        <v>童年</v>
      </c>
      <c r="D38" s="2" t="str">
        <f>IFERROR(__xludf.DUMMYFUNCTION("IF(B38&lt;&gt;"""",GOOGLETRANSLATE(B38,""zh"",""en""),"""")"),"childhood")</f>
        <v>childhood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 t="s">
        <v>41</v>
      </c>
      <c r="C39" s="2" t="str">
        <f>IFERROR(__xludf.DUMMYFUNCTION("IF(B39&lt;&gt;"""",GOOGLETRANSLATE(B39,""zh"",""zh-TW""),"""")"),"良好教育")</f>
        <v>良好教育</v>
      </c>
      <c r="D39" s="2" t="str">
        <f>IFERROR(__xludf.DUMMYFUNCTION("IF(B39&lt;&gt;"""",GOOGLETRANSLATE(B39,""zh"",""en""),"""")"),"Good education")</f>
        <v>Good education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 t="s">
        <v>42</v>
      </c>
      <c r="C40" s="2" t="str">
        <f>IFERROR(__xludf.DUMMYFUNCTION("IF(B40&lt;&gt;"""",GOOGLETRANSLATE(B40,""zh"",""zh-TW""),"""")"),"存錢")</f>
        <v>存錢</v>
      </c>
      <c r="D40" s="2" t="str">
        <f>IFERROR(__xludf.DUMMYFUNCTION("IF(B40&lt;&gt;"""",GOOGLETRANSLATE(B40,""zh"",""en""),"""")"),"Save money")</f>
        <v>Save money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2" t="s">
        <v>43</v>
      </c>
      <c r="C41" s="2" t="str">
        <f>IFERROR(__xludf.DUMMYFUNCTION("IF(B41&lt;&gt;"""",GOOGLETRANSLATE(B41,""zh"",""zh-TW""),"""")"),"收入")</f>
        <v>收入</v>
      </c>
      <c r="D41" s="2" t="str">
        <f>IFERROR(__xludf.DUMMYFUNCTION("IF(B41&lt;&gt;"""",GOOGLETRANSLATE(B41,""zh"",""en""),"""")"),"income")</f>
        <v>income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2" t="s">
        <v>44</v>
      </c>
      <c r="C42" s="2" t="str">
        <f>IFERROR(__xludf.DUMMYFUNCTION("IF(B42&lt;&gt;"""",GOOGLETRANSLATE(B42,""zh"",""zh-TW""),"""")"),"指出")</f>
        <v>指出</v>
      </c>
      <c r="D42" s="2" t="str">
        <f>IFERROR(__xludf.DUMMYFUNCTION("IF(B42&lt;&gt;"""",GOOGLETRANSLATE(B42,""zh"",""en""),"""")"),"Point out")</f>
        <v>Point out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2" t="s">
        <v>45</v>
      </c>
      <c r="C43" s="2" t="str">
        <f>IFERROR(__xludf.DUMMYFUNCTION("IF(B43&lt;&gt;"""",GOOGLETRANSLATE(B43,""zh"",""zh-TW""),"""")"),"課後班")</f>
        <v>課後班</v>
      </c>
      <c r="D43" s="2" t="str">
        <f>IFERROR(__xludf.DUMMYFUNCTION("IF(B43&lt;&gt;"""",GOOGLETRANSLATE(B43,""zh"",""en""),"""")"),"After -school shift")</f>
        <v>After -school shift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2" t="s">
        <v>46</v>
      </c>
      <c r="C44" s="2" t="str">
        <f>IFERROR(__xludf.DUMMYFUNCTION("IF(B44&lt;&gt;"""",GOOGLETRANSLATE(B44,""zh"",""zh-TW""),"""")"),"心事")</f>
        <v>心事</v>
      </c>
      <c r="D44" s="2" t="str">
        <f>IFERROR(__xludf.DUMMYFUNCTION("IF(B44&lt;&gt;"""",GOOGLETRANSLATE(B44,""zh"",""en""),"""")"),"Mind")</f>
        <v>Mind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2" t="s">
        <v>47</v>
      </c>
      <c r="C45" s="2" t="str">
        <f>IFERROR(__xludf.DUMMYFUNCTION("IF(B45&lt;&gt;"""",GOOGLETRANSLATE(B45,""zh"",""zh-TW""),"""")"),"心情")</f>
        <v>心情</v>
      </c>
      <c r="D45" s="2" t="str">
        <f>IFERROR(__xludf.DUMMYFUNCTION("IF(B45&lt;&gt;"""",GOOGLETRANSLATE(B45,""zh"",""en""),"""")"),"Feeling")</f>
        <v>Feeling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2" t="s">
        <v>48</v>
      </c>
      <c r="C46" s="2" t="str">
        <f>IFERROR(__xludf.DUMMYFUNCTION("IF(B46&lt;&gt;"""",GOOGLETRANSLATE(B46,""zh"",""zh-TW""),"""")"),"校內")</f>
        <v>校內</v>
      </c>
      <c r="D46" s="2" t="str">
        <f>IFERROR(__xludf.DUMMYFUNCTION("IF(B46&lt;&gt;"""",GOOGLETRANSLATE(B46,""zh"",""en""),"""")"),"In -school")</f>
        <v>In -school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2" t="s">
        <v>49</v>
      </c>
      <c r="C47" s="2" t="str">
        <f>IFERROR(__xludf.DUMMYFUNCTION("IF(B47&lt;&gt;"""",GOOGLETRANSLATE(B47,""zh"",""zh-TW""),"""")"),"校外")</f>
        <v>校外</v>
      </c>
      <c r="D47" s="2" t="str">
        <f>IFERROR(__xludf.DUMMYFUNCTION("IF(B47&lt;&gt;"""",GOOGLETRANSLATE(B47,""zh"",""en""),"""")"),"Off -campus")</f>
        <v>Off -campus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2" t="s">
        <v>50</v>
      </c>
      <c r="C48" s="2" t="str">
        <f>IFERROR(__xludf.DUMMYFUNCTION("IF(B48&lt;&gt;"""",GOOGLETRANSLATE(B48,""zh"",""zh-TW""),"""")"),"相處")</f>
        <v>相處</v>
      </c>
      <c r="D48" s="2" t="str">
        <f>IFERROR(__xludf.DUMMYFUNCTION("IF(B48&lt;&gt;"""",GOOGLETRANSLATE(B48,""zh"",""en""),"""")"),"get along")</f>
        <v>get along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2" t="s">
        <v>51</v>
      </c>
      <c r="C49" s="2" t="str">
        <f>IFERROR(__xludf.DUMMYFUNCTION("IF(B49&lt;&gt;"""",GOOGLETRANSLATE(B49,""zh"",""zh-TW""),"""")"),"新聞")</f>
        <v>新聞</v>
      </c>
      <c r="D49" s="2" t="str">
        <f>IFERROR(__xludf.DUMMYFUNCTION("IF(B49&lt;&gt;"""",GOOGLETRANSLATE(B49,""zh"",""en""),"""")"),"news")</f>
        <v>news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2" t="s">
        <v>52</v>
      </c>
      <c r="C50" s="2" t="str">
        <f>IFERROR(__xludf.DUMMYFUNCTION("IF(B50&lt;&gt;"""",GOOGLETRANSLATE(B50,""zh"",""zh-TW""),"""")"),"侄女")</f>
        <v>侄女</v>
      </c>
      <c r="D50" s="2" t="str">
        <f>IFERROR(__xludf.DUMMYFUNCTION("IF(B50&lt;&gt;"""",GOOGLETRANSLATE(B50,""zh"",""en""),"""")"),"niece")</f>
        <v>niece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2" t="s">
        <v>53</v>
      </c>
      <c r="C51" s="2" t="str">
        <f>IFERROR(__xludf.DUMMYFUNCTION("IF(B51&lt;&gt;"""",GOOGLETRANSLATE(B51,""zh"",""zh-TW""),"""")"),"指導")</f>
        <v>指導</v>
      </c>
      <c r="D51" s="2" t="str">
        <f>IFERROR(__xludf.DUMMYFUNCTION("IF(B51&lt;&gt;"""",GOOGLETRANSLATE(B51,""zh"",""en""),"""")"),"guide")</f>
        <v>guide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2" t="s">
        <v>54</v>
      </c>
      <c r="C52" s="2" t="str">
        <f>IFERROR(__xludf.DUMMYFUNCTION("IF(B52&lt;&gt;"""",GOOGLETRANSLATE(B52,""zh"",""zh-TW""),"""")"),"尊重")</f>
        <v>尊重</v>
      </c>
      <c r="D52" s="2" t="str">
        <f>IFERROR(__xludf.DUMMYFUNCTION("IF(B52&lt;&gt;"""",GOOGLETRANSLATE(B52,""zh"",""en""),"""")"),"respect")</f>
        <v>respect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2" t="s">
        <v>55</v>
      </c>
      <c r="C53" s="2" t="str">
        <f>IFERROR(__xludf.DUMMYFUNCTION("IF(B53&lt;&gt;"""",GOOGLETRANSLATE(B53,""zh"",""zh-TW""),"""")"),"賺錢")</f>
        <v>賺錢</v>
      </c>
      <c r="D53" s="2" t="str">
        <f>IFERROR(__xludf.DUMMYFUNCTION("IF(B53&lt;&gt;"""",GOOGLETRANSLATE(B53,""zh"",""en""),"""")"),"make money")</f>
        <v>make money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2" t="s">
        <v>56</v>
      </c>
      <c r="C54" s="2" t="str">
        <f>IFERROR(__xludf.DUMMYFUNCTION("IF(B54&lt;&gt;"""",GOOGLETRANSLATE(B54,""zh"",""zh-TW""),"""")"),"自然")</f>
        <v>自然</v>
      </c>
      <c r="D54" s="2" t="str">
        <f>IFERROR(__xludf.DUMMYFUNCTION("IF(B54&lt;&gt;"""",GOOGLETRANSLATE(B54,""zh"",""en""),"""")"),"nature")</f>
        <v>nature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2" t="s">
        <v>57</v>
      </c>
      <c r="C55" s="2" t="str">
        <f>IFERROR(__xludf.DUMMYFUNCTION("IF(B55&lt;&gt;"""",GOOGLETRANSLATE(B55,""zh"",""zh-TW""),"""")"),"知識")</f>
        <v>知識</v>
      </c>
      <c r="D55" s="2" t="str">
        <f>IFERROR(__xludf.DUMMYFUNCTION("IF(B55&lt;&gt;"""",GOOGLETRANSLATE(B55,""zh"",""en""),"""")"),"Knowledge")</f>
        <v>Knowledge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2" t="s">
        <v>58</v>
      </c>
      <c r="C56" s="2" t="str">
        <f>IFERROR(__xludf.DUMMYFUNCTION("IF(B56&lt;&gt;"""",GOOGLETRANSLATE(B56,""zh"",""zh-TW""),"""")"),"爺爺")</f>
        <v>爺爺</v>
      </c>
      <c r="D56" s="2" t="str">
        <f>IFERROR(__xludf.DUMMYFUNCTION("IF(B56&lt;&gt;"""",GOOGLETRANSLATE(B56,""zh"",""en""),"""")"),"grandfather")</f>
        <v>grandfather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2" t="s">
        <v>59</v>
      </c>
      <c r="C57" s="2" t="str">
        <f>IFERROR(__xludf.DUMMYFUNCTION("IF(B57&lt;&gt;"""",GOOGLETRANSLATE(B57,""zh"",""zh-TW""),"""")"),"奶奶")</f>
        <v>奶奶</v>
      </c>
      <c r="D57" s="2" t="str">
        <f>IFERROR(__xludf.DUMMYFUNCTION("IF(B57&lt;&gt;"""",GOOGLETRANSLATE(B57,""zh"",""en""),"""")"),"grandmother")</f>
        <v>grandmother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2" t="s">
        <v>60</v>
      </c>
      <c r="C58" s="2" t="str">
        <f>IFERROR(__xludf.DUMMYFUNCTION("IF(B58&lt;&gt;"""",GOOGLETRANSLATE(B58,""zh"",""zh-TW""),"""")"),"上機")</f>
        <v>上機</v>
      </c>
      <c r="D58" s="2" t="str">
        <f>IFERROR(__xludf.DUMMYFUNCTION("IF(B58&lt;&gt;"""",GOOGLETRANSLATE(B58,""zh"",""en""),"""")"),"on board")</f>
        <v>on board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2" t="s">
        <v>61</v>
      </c>
      <c r="C59" s="2" t="str">
        <f>IFERROR(__xludf.DUMMYFUNCTION("IF(B59&lt;&gt;"""",GOOGLETRANSLATE(B59,""zh"",""zh-TW""),"""")"),"做瑜伽")</f>
        <v>做瑜伽</v>
      </c>
      <c r="D59" s="2" t="str">
        <f>IFERROR(__xludf.DUMMYFUNCTION("IF(B59&lt;&gt;"""",GOOGLETRANSLATE(B59,""zh"",""en""),"""")"),"Yoga")</f>
        <v>Yoga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2" t="s">
        <v>62</v>
      </c>
      <c r="C60" s="2" t="str">
        <f>IFERROR(__xludf.DUMMYFUNCTION("IF(B60&lt;&gt;"""",GOOGLETRANSLATE(B60,""zh"",""zh-TW""),"""")"),"零用錢")</f>
        <v>零用錢</v>
      </c>
      <c r="D60" s="2" t="str">
        <f>IFERROR(__xludf.DUMMYFUNCTION("IF(B60&lt;&gt;"""",GOOGLETRANSLATE(B60,""zh"",""en""),"""")"),"pocket money")</f>
        <v>pocket money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2" t="s">
        <v>63</v>
      </c>
      <c r="C61" s="2" t="str">
        <f>IFERROR(__xludf.DUMMYFUNCTION("IF(B61&lt;&gt;"""",GOOGLETRANSLATE(B61,""zh"",""zh-TW""),"""")"),"鬧彆扭")</f>
        <v>鬧彆扭</v>
      </c>
      <c r="D61" s="2" t="str">
        <f>IFERROR(__xludf.DUMMYFUNCTION("IF(B61&lt;&gt;"""",GOOGLETRANSLATE(B61,""zh"",""en""),"""")"),"Awkward")</f>
        <v>Awkward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2" t="s">
        <v>64</v>
      </c>
      <c r="C62" s="2" t="str">
        <f>IFERROR(__xludf.DUMMYFUNCTION("IF(B62&lt;&gt;"""",GOOGLETRANSLATE(B62,""zh"",""zh-TW""),"""")"),"可靠")</f>
        <v>可靠</v>
      </c>
      <c r="D62" s="2" t="str">
        <f>IFERROR(__xludf.DUMMYFUNCTION("IF(B62&lt;&gt;"""",GOOGLETRANSLATE(B62,""zh"",""en""),"""")"),"reliable")</f>
        <v>reliable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2" t="s">
        <v>65</v>
      </c>
      <c r="C63" s="2" t="str">
        <f>IFERROR(__xludf.DUMMYFUNCTION("IF(B63&lt;&gt;"""",GOOGLETRANSLATE(B63,""zh"",""zh-TW""),"""")"),"安排")</f>
        <v>安排</v>
      </c>
      <c r="D63" s="2" t="str">
        <f>IFERROR(__xludf.DUMMYFUNCTION("IF(B63&lt;&gt;"""",GOOGLETRANSLATE(B63,""zh"",""en""),"""")"),"arrange")</f>
        <v>arrange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2" t="s">
        <v>66</v>
      </c>
      <c r="C64" s="2" t="str">
        <f>IFERROR(__xludf.DUMMYFUNCTION("IF(B64&lt;&gt;"""",GOOGLETRANSLATE(B64,""zh"",""zh-TW""),"""")"),"大人")</f>
        <v>大人</v>
      </c>
      <c r="D64" s="2" t="str">
        <f>IFERROR(__xludf.DUMMYFUNCTION("IF(B64&lt;&gt;"""",GOOGLETRANSLATE(B64,""zh"",""en""),"""")"),"grown ups")</f>
        <v>grown ups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2" t="s">
        <v>67</v>
      </c>
      <c r="C65" s="2" t="str">
        <f>IFERROR(__xludf.DUMMYFUNCTION("IF(B65&lt;&gt;"""",GOOGLETRANSLATE(B65,""zh"",""zh-TW""),"""")"),"道理")</f>
        <v>道理</v>
      </c>
      <c r="D65" s="2" t="str">
        <f>IFERROR(__xludf.DUMMYFUNCTION("IF(B65&lt;&gt;"""",GOOGLETRANSLATE(B65,""zh"",""en""),"""")"),"reason")</f>
        <v>reason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2" t="s">
        <v>68</v>
      </c>
      <c r="C66" s="2" t="str">
        <f>IFERROR(__xludf.DUMMYFUNCTION("IF(B66&lt;&gt;"""",GOOGLETRANSLATE(B66,""zh"",""zh-TW""),"""")"),"兒童")</f>
        <v>兒童</v>
      </c>
      <c r="D66" s="2" t="str">
        <f>IFERROR(__xludf.DUMMYFUNCTION("IF(B66&lt;&gt;"""",GOOGLETRANSLATE(B66,""zh"",""en""),"""")"),"child")</f>
        <v>child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2" t="s">
        <v>40</v>
      </c>
      <c r="C67" s="2" t="str">
        <f>IFERROR(__xludf.DUMMYFUNCTION("IF(B67&lt;&gt;"""",GOOGLETRANSLATE(B67,""zh"",""zh-TW""),"""")"),"童年")</f>
        <v>童年</v>
      </c>
      <c r="D67" s="2" t="str">
        <f>IFERROR(__xludf.DUMMYFUNCTION("IF(B67&lt;&gt;"""",GOOGLETRANSLATE(B67,""zh"",""en""),"""")"),"childhood")</f>
        <v>childhood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2" t="s">
        <v>69</v>
      </c>
      <c r="C68" s="2" t="str">
        <f>IFERROR(__xludf.DUMMYFUNCTION("IF(B68&lt;&gt;"""",GOOGLETRANSLATE(B68,""zh"",""zh-TW""),"""")"),"乖")</f>
        <v>乖</v>
      </c>
      <c r="D68" s="2" t="str">
        <f>IFERROR(__xludf.DUMMYFUNCTION("IF(B68&lt;&gt;"""",GOOGLETRANSLATE(B68,""zh"",""en""),"""")"),"good")</f>
        <v>good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 t="s">
        <v>70</v>
      </c>
      <c r="C69" s="2" t="str">
        <f>IFERROR(__xludf.DUMMYFUNCTION("IF(B69&lt;&gt;"""",GOOGLETRANSLATE(B69,""zh"",""zh-TW""),"""")"),"管")</f>
        <v>管</v>
      </c>
      <c r="D69" s="2" t="str">
        <f>IFERROR(__xludf.DUMMYFUNCTION("IF(B69&lt;&gt;"""",GOOGLETRANSLATE(B69,""zh"",""en""),"""")"),"Tube")</f>
        <v>Tube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 t="s">
        <v>71</v>
      </c>
      <c r="C70" s="2" t="str">
        <f>IFERROR(__xludf.DUMMYFUNCTION("IF(B70&lt;&gt;"""",GOOGLETRANSLATE(B70,""zh"",""zh-TW""),"""")"),"家長")</f>
        <v>家長</v>
      </c>
      <c r="D70" s="2" t="str">
        <f>IFERROR(__xludf.DUMMYFUNCTION("IF(B70&lt;&gt;"""",GOOGLETRANSLATE(B70,""zh"",""en""),"""")"),"Parent")</f>
        <v>Parent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 t="s">
        <v>72</v>
      </c>
      <c r="C71" s="2" t="str">
        <f>IFERROR(__xludf.DUMMYFUNCTION("IF(B71&lt;&gt;"""",GOOGLETRANSLATE(B71,""zh"",""zh-TW""),"""")"),"教育")</f>
        <v>教育</v>
      </c>
      <c r="D71" s="2" t="str">
        <f>IFERROR(__xludf.DUMMYFUNCTION("IF(B71&lt;&gt;"""",GOOGLETRANSLATE(B71,""zh"",""en""),"""")"),"educate")</f>
        <v>educate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 t="s">
        <v>73</v>
      </c>
      <c r="C72" s="2" t="str">
        <f>IFERROR(__xludf.DUMMYFUNCTION("IF(B72&lt;&gt;"""",GOOGLETRANSLATE(B72,""zh"",""zh-TW""),"""")"),"厲害")</f>
        <v>厲害</v>
      </c>
      <c r="D72" s="2" t="str">
        <f>IFERROR(__xludf.DUMMYFUNCTION("IF(B72&lt;&gt;"""",GOOGLETRANSLATE(B72,""zh"",""en""),"""")"),"sharp")</f>
        <v>sharp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 t="s">
        <v>74</v>
      </c>
      <c r="C73" s="2" t="str">
        <f>IFERROR(__xludf.DUMMYFUNCTION("IF(B73&lt;&gt;"""",GOOGLETRANSLATE(B73,""zh"",""zh-TW""),"""")"),"美滿")</f>
        <v>美滿</v>
      </c>
      <c r="D73" s="2" t="str">
        <f>IFERROR(__xludf.DUMMYFUNCTION("IF(B73&lt;&gt;"""",GOOGLETRANSLATE(B73,""zh"",""en""),"""")"),"happy")</f>
        <v>happy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 t="s">
        <v>75</v>
      </c>
      <c r="C74" s="2" t="str">
        <f>IFERROR(__xludf.DUMMYFUNCTION("IF(B74&lt;&gt;"""",GOOGLETRANSLATE(B74,""zh"",""zh-TW""),"""")"),"虎媽")</f>
        <v>虎媽</v>
      </c>
      <c r="D74" s="2" t="str">
        <f>IFERROR(__xludf.DUMMYFUNCTION("IF(B74&lt;&gt;"""",GOOGLETRANSLATE(B74,""zh"",""en""),"""")"),"Tiger mother")</f>
        <v>Tiger mother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 t="s">
        <v>76</v>
      </c>
      <c r="C75" s="2" t="str">
        <f>IFERROR(__xludf.DUMMYFUNCTION("IF(B75&lt;&gt;"""",GOOGLETRANSLATE(B75,""zh"",""zh-TW""),"""")"),"育兒")</f>
        <v>育兒</v>
      </c>
      <c r="D75" s="2" t="str">
        <f>IFERROR(__xludf.DUMMYFUNCTION("IF(B75&lt;&gt;"""",GOOGLETRANSLATE(B75,""zh"",""en""),"""")"),"Parenting")</f>
        <v>Parenting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 t="s">
        <v>77</v>
      </c>
      <c r="C76" s="2" t="str">
        <f>IFERROR(__xludf.DUMMYFUNCTION("IF(B76&lt;&gt;"""",GOOGLETRANSLATE(B76,""zh"",""zh-TW""),"""")"),"貧")</f>
        <v>貧</v>
      </c>
      <c r="D76" s="2" t="str">
        <f>IFERROR(__xludf.DUMMYFUNCTION("IF(B76&lt;&gt;"""",GOOGLETRANSLATE(B76,""zh"",""en""),"""")"),"poor")</f>
        <v>poor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 t="s">
        <v>78</v>
      </c>
      <c r="C77" s="2" t="str">
        <f>IFERROR(__xludf.DUMMYFUNCTION("IF(B77&lt;&gt;"""",GOOGLETRANSLATE(B77,""zh"",""zh-TW""),"""")"),"省（下來）")</f>
        <v>省（下來）</v>
      </c>
      <c r="D77" s="2" t="str">
        <f>IFERROR(__xludf.DUMMYFUNCTION("IF(B77&lt;&gt;"""",GOOGLETRANSLATE(B77,""zh"",""en""),"""")"),"Save it)")</f>
        <v>Save it)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 t="s">
        <v>79</v>
      </c>
      <c r="C78" s="2" t="str">
        <f>IFERROR(__xludf.DUMMYFUNCTION("IF(B78&lt;&gt;"""",GOOGLETRANSLATE(B78,""zh"",""zh-TW""),"""")"),"家教")</f>
        <v>家教</v>
      </c>
      <c r="D78" s="2" t="str">
        <f>IFERROR(__xludf.DUMMYFUNCTION("IF(B78&lt;&gt;"""",GOOGLETRANSLATE(B78,""zh"",""en""),"""")"),"Tutor")</f>
        <v>Tutor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 t="s">
        <v>80</v>
      </c>
      <c r="C79" s="2" t="str">
        <f>IFERROR(__xludf.DUMMYFUNCTION("IF(B79&lt;&gt;"""",GOOGLETRANSLATE(B79,""zh"",""zh-TW""),"""")"),"美國夢")</f>
        <v>美國夢</v>
      </c>
      <c r="D79" s="2" t="str">
        <f>IFERROR(__xludf.DUMMYFUNCTION("IF(B79&lt;&gt;"""",GOOGLETRANSLATE(B79,""zh"",""en""),"""")"),"American dream")</f>
        <v>American dream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 t="s">
        <v>81</v>
      </c>
      <c r="C80" s="2" t="str">
        <f>IFERROR(__xludf.DUMMYFUNCTION("IF(B80&lt;&gt;"""",GOOGLETRANSLATE(B80,""zh"",""zh-TW""),"""")"),"快樂童年")</f>
        <v>快樂童年</v>
      </c>
      <c r="D80" s="2" t="str">
        <f>IFERROR(__xludf.DUMMYFUNCTION("IF(B80&lt;&gt;"""",GOOGLETRANSLATE(B80,""zh"",""en""),"""")"),"happy childhood")</f>
        <v>happy childhood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 t="s">
        <v>82</v>
      </c>
      <c r="C81" s="2" t="str">
        <f>IFERROR(__xludf.DUMMYFUNCTION("IF(B81&lt;&gt;"""",GOOGLETRANSLATE(B81,""zh"",""zh-TW""),"""")"),"衣食住行")</f>
        <v>衣食住行</v>
      </c>
      <c r="D81" s="2" t="str">
        <f>IFERROR(__xludf.DUMMYFUNCTION("IF(B81&lt;&gt;"""",GOOGLETRANSLATE(B81,""zh"",""en""),"""")"),"Clothing and food")</f>
        <v>Clothing and food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 t="s">
        <v>54</v>
      </c>
      <c r="C82" s="2" t="str">
        <f>IFERROR(__xludf.DUMMYFUNCTION("IF(B82&lt;&gt;"""",GOOGLETRANSLATE(B82,""zh"",""zh-TW""),"""")"),"尊重")</f>
        <v>尊重</v>
      </c>
      <c r="D82" s="2" t="str">
        <f>IFERROR(__xludf.DUMMYFUNCTION("IF(B82&lt;&gt;"""",GOOGLETRANSLATE(B82,""zh"",""en""),"""")"),"respect")</f>
        <v>respect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 t="s">
        <v>83</v>
      </c>
      <c r="C83" s="2" t="str">
        <f>IFERROR(__xludf.DUMMYFUNCTION("IF(B83&lt;&gt;"""",GOOGLETRANSLATE(B83,""zh"",""zh-TW""),"""")"),"起跑線")</f>
        <v>起跑線</v>
      </c>
      <c r="D83" s="2" t="str">
        <f>IFERROR(__xludf.DUMMYFUNCTION("IF(B83&lt;&gt;"""",GOOGLETRANSLATE(B83,""zh"",""en""),"""")"),"starting line")</f>
        <v>starting line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 t="s">
        <v>84</v>
      </c>
      <c r="C84" s="2" t="str">
        <f>IFERROR(__xludf.DUMMYFUNCTION("IF(B84&lt;&gt;"""",GOOGLETRANSLATE(B84,""zh"",""zh-TW""),"""")"),"發生")</f>
        <v>發生</v>
      </c>
      <c r="D84" s="2" t="str">
        <f>IFERROR(__xludf.DUMMYFUNCTION("IF(B84&lt;&gt;"""",GOOGLETRANSLATE(B84,""zh"",""en""),"""")"),"occur")</f>
        <v>occur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 t="s">
        <v>85</v>
      </c>
      <c r="C85" s="2" t="str">
        <f>IFERROR(__xludf.DUMMYFUNCTION("IF(B85&lt;&gt;"""",GOOGLETRANSLATE(B85,""zh"",""zh-TW""),"""")"),"棍棒教育")</f>
        <v>棍棒教育</v>
      </c>
      <c r="D85" s="2" t="str">
        <f>IFERROR(__xludf.DUMMYFUNCTION("IF(B85&lt;&gt;"""",GOOGLETRANSLATE(B85,""zh"",""en""),"""")"),"Stick education")</f>
        <v>Stick education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 t="s">
        <v>86</v>
      </c>
      <c r="C86" s="2" t="str">
        <f>IFERROR(__xludf.DUMMYFUNCTION("IF(B86&lt;&gt;"""",GOOGLETRANSLATE(B86,""zh"",""zh-TW""),"""")"),"好看")</f>
        <v>好看</v>
      </c>
      <c r="D86" s="2" t="str">
        <f>IFERROR(__xludf.DUMMYFUNCTION("IF(B86&lt;&gt;"""",GOOGLETRANSLATE(B86,""zh"",""en""),"""")"),"nice")</f>
        <v>nice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 t="s">
        <v>87</v>
      </c>
      <c r="C87" s="2" t="str">
        <f>IFERROR(__xludf.DUMMYFUNCTION("IF(B87&lt;&gt;"""",GOOGLETRANSLATE(B87,""zh"",""zh-TW""),"""")"),"口水")</f>
        <v>口水</v>
      </c>
      <c r="D87" s="2" t="str">
        <f>IFERROR(__xludf.DUMMYFUNCTION("IF(B87&lt;&gt;"""",GOOGLETRANSLATE(B87,""zh"",""en""),"""")"),"saliva")</f>
        <v>saliva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 t="s">
        <v>88</v>
      </c>
      <c r="C88" s="2" t="str">
        <f>IFERROR(__xludf.DUMMYFUNCTION("IF(B88&lt;&gt;"""",GOOGLETRANSLATE(B88,""zh"",""zh-TW""),"""")"),"口味")</f>
        <v>口味</v>
      </c>
      <c r="D88" s="2" t="str">
        <f>IFERROR(__xludf.DUMMYFUNCTION("IF(B88&lt;&gt;"""",GOOGLETRANSLATE(B88,""zh"",""en""),"""")"),"taste")</f>
        <v>taste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 t="s">
        <v>89</v>
      </c>
      <c r="C89" s="2" t="str">
        <f>IFERROR(__xludf.DUMMYFUNCTION("IF(B89&lt;&gt;"""",GOOGLETRANSLATE(B89,""zh"",""zh-TW""),"""")"),"嫩")</f>
        <v>嫩</v>
      </c>
      <c r="D89" s="2" t="str">
        <f>IFERROR(__xludf.DUMMYFUNCTION("IF(B89&lt;&gt;"""",GOOGLETRANSLATE(B89,""zh"",""en""),"""")"),"Tender")</f>
        <v>Tender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 t="s">
        <v>90</v>
      </c>
      <c r="C90" s="2" t="str">
        <f>IFERROR(__xludf.DUMMYFUNCTION("IF(B90&lt;&gt;"""",GOOGLETRANSLATE(B90,""zh"",""zh-TW""),"""")"),"放心")</f>
        <v>放心</v>
      </c>
      <c r="D90" s="2" t="str">
        <f>IFERROR(__xludf.DUMMYFUNCTION("IF(B90&lt;&gt;"""",GOOGLETRANSLATE(B90,""zh"",""en""),"""")"),"rest assured")</f>
        <v>rest assured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 t="s">
        <v>91</v>
      </c>
      <c r="C91" s="2" t="str">
        <f>IFERROR(__xludf.DUMMYFUNCTION("IF(B91&lt;&gt;"""",GOOGLETRANSLATE(B91,""zh"",""zh-TW""),"""")"),"分別")</f>
        <v>分別</v>
      </c>
      <c r="D91" s="2" t="str">
        <f>IFERROR(__xludf.DUMMYFUNCTION("IF(B91&lt;&gt;"""",GOOGLETRANSLATE(B91,""zh"",""en""),"""")"),"respectively")</f>
        <v>respectively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 t="s">
        <v>92</v>
      </c>
      <c r="C92" s="2" t="str">
        <f>IFERROR(__xludf.DUMMYFUNCTION("IF(B92&lt;&gt;"""",GOOGLETRANSLATE(B92,""zh"",""zh-TW""),"""")"),"風俗")</f>
        <v>風俗</v>
      </c>
      <c r="D92" s="2" t="str">
        <f>IFERROR(__xludf.DUMMYFUNCTION("IF(B92&lt;&gt;"""",GOOGLETRANSLATE(B92,""zh"",""en""),"""")"),"custom")</f>
        <v>custom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 t="s">
        <v>93</v>
      </c>
      <c r="C93" s="2" t="str">
        <f>IFERROR(__xludf.DUMMYFUNCTION("IF(B93&lt;&gt;"""",GOOGLETRANSLATE(B93,""zh"",""zh-TW""),"""")"),"福")</f>
        <v>福</v>
      </c>
      <c r="D93" s="2" t="str">
        <f>IFERROR(__xludf.DUMMYFUNCTION("IF(B93&lt;&gt;"""",GOOGLETRANSLATE(B93,""zh"",""en""),"""")"),"blessing")</f>
        <v>blessing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 t="s">
        <v>94</v>
      </c>
      <c r="C94" s="2" t="str">
        <f>IFERROR(__xludf.DUMMYFUNCTION("IF(B94&lt;&gt;"""",GOOGLETRANSLATE(B94,""zh"",""zh-TW""),"""")"),"感恩節")</f>
        <v>感恩節</v>
      </c>
      <c r="D94" s="2" t="str">
        <f>IFERROR(__xludf.DUMMYFUNCTION("IF(B94&lt;&gt;"""",GOOGLETRANSLATE(B94,""zh"",""en""),"""")"),"Thanksgiving Day")</f>
        <v>Thanksgiving Day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 t="s">
        <v>95</v>
      </c>
      <c r="C95" s="2" t="str">
        <f>IFERROR(__xludf.DUMMYFUNCTION("IF(B95&lt;&gt;"""",GOOGLETRANSLATE(B95,""zh"",""zh-TW""),"""")"),"咕嚕肉")</f>
        <v>咕嚕肉</v>
      </c>
      <c r="D95" s="2" t="str">
        <f>IFERROR(__xludf.DUMMYFUNCTION("IF(B95&lt;&gt;"""",GOOGLETRANSLATE(B95,""zh"",""en""),"""")"),"Sweet and Sour Pork")</f>
        <v>Sweet and Sour Pork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 t="s">
        <v>96</v>
      </c>
      <c r="C96" s="2" t="str">
        <f>IFERROR(__xludf.DUMMYFUNCTION("IF(B96&lt;&gt;"""",GOOGLETRANSLATE(B96,""zh"",""zh-TW""),"""")"),"姑媽")</f>
        <v>姑媽</v>
      </c>
      <c r="D96" s="2" t="str">
        <f>IFERROR(__xludf.DUMMYFUNCTION("IF(B96&lt;&gt;"""",GOOGLETRANSLATE(B96,""zh"",""en""),"""")"),"aunt")</f>
        <v>aunt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 t="s">
        <v>97</v>
      </c>
      <c r="C97" s="2" t="str">
        <f>IFERROR(__xludf.DUMMYFUNCTION("IF(B97&lt;&gt;"""",GOOGLETRANSLATE(B97,""zh"",""zh-TW""),"""")"),"關照")</f>
        <v>關照</v>
      </c>
      <c r="D97" s="2" t="str">
        <f>IFERROR(__xludf.DUMMYFUNCTION("IF(B97&lt;&gt;"""",GOOGLETRANSLATE(B97,""zh"",""en""),"""")"),"care")</f>
        <v>care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 t="s">
        <v>98</v>
      </c>
      <c r="C98" s="2" t="str">
        <f>IFERROR(__xludf.DUMMYFUNCTION("IF(B98&lt;&gt;"""",GOOGLETRANSLATE(B98,""zh"",""zh-TW""),"""")"),"關係")</f>
        <v>關係</v>
      </c>
      <c r="D98" s="2" t="str">
        <f>IFERROR(__xludf.DUMMYFUNCTION("IF(B98&lt;&gt;"""",GOOGLETRANSLATE(B98,""zh"",""en""),"""")"),"relation")</f>
        <v>relation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 t="s">
        <v>99</v>
      </c>
      <c r="C99" s="2" t="str">
        <f>IFERROR(__xludf.DUMMYFUNCTION("IF(B99&lt;&gt;"""",GOOGLETRANSLATE(B99,""zh"",""zh-TW""),"""")"),"歸來")</f>
        <v>歸來</v>
      </c>
      <c r="D99" s="2" t="str">
        <f>IFERROR(__xludf.DUMMYFUNCTION("IF(B99&lt;&gt;"""",GOOGLETRANSLATE(B99,""zh"",""en""),"""")"),"Return")</f>
        <v>Return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 t="s">
        <v>100</v>
      </c>
      <c r="C100" s="2" t="str">
        <f>IFERROR(__xludf.DUMMYFUNCTION("IF(B100&lt;&gt;"""",GOOGLETRANSLATE(B100,""zh"",""zh-TW""),"""")"),"櫃子")</f>
        <v>櫃子</v>
      </c>
      <c r="D100" s="2" t="str">
        <f>IFERROR(__xludf.DUMMYFUNCTION("IF(B100&lt;&gt;"""",GOOGLETRANSLATE(B100,""zh"",""en""),"""")"),"cabinet")</f>
        <v>cabinet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 t="s">
        <v>101</v>
      </c>
      <c r="C101" s="2" t="str">
        <f>IFERROR(__xludf.DUMMYFUNCTION("IF(B101&lt;&gt;"""",GOOGLETRANSLATE(B101,""zh"",""zh-TW""),"""")"),"紅包")</f>
        <v>紅包</v>
      </c>
      <c r="D101" s="2" t="str">
        <f>IFERROR(__xludf.DUMMYFUNCTION("IF(B101&lt;&gt;"""",GOOGLETRANSLATE(B101,""zh"",""en""),"""")"),"Red envelope")</f>
        <v>Red envelope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 t="s">
        <v>102</v>
      </c>
      <c r="C102" s="2" t="str">
        <f>IFERROR(__xludf.DUMMYFUNCTION("IF(B102&lt;&gt;"""",GOOGLETRANSLATE(B102,""zh"",""zh-TW""),"""")"),"火鍋")</f>
        <v>火鍋</v>
      </c>
      <c r="D102" s="2" t="str">
        <f>IFERROR(__xludf.DUMMYFUNCTION("IF(B102&lt;&gt;"""",GOOGLETRANSLATE(B102,""zh"",""en""),"""")"),"hot pot")</f>
        <v>hot pot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 t="s">
        <v>79</v>
      </c>
      <c r="C103" s="2" t="str">
        <f>IFERROR(__xludf.DUMMYFUNCTION("IF(B103&lt;&gt;"""",GOOGLETRANSLATE(B103,""zh"",""zh-TW""),"""")"),"家教")</f>
        <v>家教</v>
      </c>
      <c r="D103" s="2" t="str">
        <f>IFERROR(__xludf.DUMMYFUNCTION("IF(B103&lt;&gt;"""",GOOGLETRANSLATE(B103,""zh"",""en""),"""")"),"Tutor")</f>
        <v>Tutor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 t="s">
        <v>103</v>
      </c>
      <c r="C104" s="2" t="str">
        <f>IFERROR(__xludf.DUMMYFUNCTION("IF(B104&lt;&gt;"""",GOOGLETRANSLATE(B104,""zh"",""zh-TW""),"""")"),"家務")</f>
        <v>家務</v>
      </c>
      <c r="D104" s="2" t="str">
        <f>IFERROR(__xludf.DUMMYFUNCTION("IF(B104&lt;&gt;"""",GOOGLETRANSLATE(B104,""zh"",""en""),"""")"),"housework")</f>
        <v>housework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 t="s">
        <v>104</v>
      </c>
      <c r="C105" s="2" t="str">
        <f>IFERROR(__xludf.DUMMYFUNCTION("IF(B105&lt;&gt;"""",GOOGLETRANSLATE(B105,""zh"",""zh-TW""),"""")"),"家鄉")</f>
        <v>家鄉</v>
      </c>
      <c r="D105" s="2" t="str">
        <f>IFERROR(__xludf.DUMMYFUNCTION("IF(B105&lt;&gt;"""",GOOGLETRANSLATE(B105,""zh"",""en""),"""")"),"hometown")</f>
        <v>hometown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 t="s">
        <v>71</v>
      </c>
      <c r="C106" s="2" t="str">
        <f>IFERROR(__xludf.DUMMYFUNCTION("IF(B106&lt;&gt;"""",GOOGLETRANSLATE(B106,""zh"",""zh-TW""),"""")"),"家長")</f>
        <v>家長</v>
      </c>
      <c r="D106" s="2" t="str">
        <f>IFERROR(__xludf.DUMMYFUNCTION("IF(B106&lt;&gt;"""",GOOGLETRANSLATE(B106,""zh"",""en""),"""")"),"Parent")</f>
        <v>Parent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 t="s">
        <v>105</v>
      </c>
      <c r="C107" s="2" t="str">
        <f>IFERROR(__xludf.DUMMYFUNCTION("IF(B107&lt;&gt;"""",GOOGLETRANSLATE(B107,""zh"",""zh-TW""),"""")"),"餞行")</f>
        <v>餞行</v>
      </c>
      <c r="D107" s="2" t="str">
        <f>IFERROR(__xludf.DUMMYFUNCTION("IF(B107&lt;&gt;"""",GOOGLETRANSLATE(B107,""zh"",""en""),"""")"),"Rush")</f>
        <v>Rush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 t="s">
        <v>106</v>
      </c>
      <c r="C108" s="2" t="str">
        <f>IFERROR(__xludf.DUMMYFUNCTION("IF(B108&lt;&gt;"""",GOOGLETRANSLATE(B108,""zh"",""zh-TW""),"""")"),"獎學金")</f>
        <v>獎學金</v>
      </c>
      <c r="D108" s="2" t="str">
        <f>IFERROR(__xludf.DUMMYFUNCTION("IF(B108&lt;&gt;"""",GOOGLETRANSLATE(B108,""zh"",""en""),"""")"),"scholarship")</f>
        <v>scholarship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 t="s">
        <v>107</v>
      </c>
      <c r="C109" s="2" t="str">
        <f>IFERROR(__xludf.DUMMYFUNCTION("IF(B109&lt;&gt;"""",GOOGLETRANSLATE(B109,""zh"",""zh-TW""),"""")"),"接風")</f>
        <v>接風</v>
      </c>
      <c r="D109" s="2" t="str">
        <f>IFERROR(__xludf.DUMMYFUNCTION("IF(B109&lt;&gt;"""",GOOGLETRANSLATE(B109,""zh"",""en""),"""")"),"Get off the wind")</f>
        <v>Get off the wind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 t="s">
        <v>108</v>
      </c>
      <c r="C110" s="2" t="str">
        <f>IFERROR(__xludf.DUMMYFUNCTION("IF(B110&lt;&gt;"""",GOOGLETRANSLATE(B110,""zh"",""zh-TW""),"""")"),"接近")</f>
        <v>接近</v>
      </c>
      <c r="D110" s="2" t="str">
        <f>IFERROR(__xludf.DUMMYFUNCTION("IF(B110&lt;&gt;"""",GOOGLETRANSLATE(B110,""zh"",""en""),"""")"),"near")</f>
        <v>near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 t="s">
        <v>109</v>
      </c>
      <c r="C111" s="2" t="str">
        <f>IFERROR(__xludf.DUMMYFUNCTION("IF(B111&lt;&gt;"""",GOOGLETRANSLATE(B111,""zh"",""zh-TW""),"""")"),"結婚")</f>
        <v>結婚</v>
      </c>
      <c r="D111" s="2" t="str">
        <f>IFERROR(__xludf.DUMMYFUNCTION("IF(B111&lt;&gt;"""",GOOGLETRANSLATE(B111,""zh"",""en""),"""")"),"marry")</f>
        <v>marry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 t="s">
        <v>110</v>
      </c>
      <c r="C112" s="2" t="str">
        <f>IFERROR(__xludf.DUMMYFUNCTION("IF(B112&lt;&gt;"""",GOOGLETRANSLATE(B112,""zh"",""zh-TW""),"""")"),"解釋")</f>
        <v>解釋</v>
      </c>
      <c r="D112" s="2" t="str">
        <f>IFERROR(__xludf.DUMMYFUNCTION("IF(B112&lt;&gt;"""",GOOGLETRANSLATE(B112,""zh"",""en""),"""")"),"explain")</f>
        <v>explain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 t="s">
        <v>111</v>
      </c>
      <c r="C113" s="2" t="str">
        <f>IFERROR(__xludf.DUMMYFUNCTION("IF(B113&lt;&gt;"""",GOOGLETRANSLATE(B113,""zh"",""zh-TW""),"""")"),"姐妹")</f>
        <v>姐妹</v>
      </c>
      <c r="D113" s="2" t="str">
        <f>IFERROR(__xludf.DUMMYFUNCTION("IF(B113&lt;&gt;"""",GOOGLETRANSLATE(B113,""zh"",""en""),"""")"),"sisters")</f>
        <v>sisters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 t="s">
        <v>112</v>
      </c>
      <c r="C114" s="2" t="str">
        <f>IFERROR(__xludf.DUMMYFUNCTION("IF(B114&lt;&gt;"""",GOOGLETRANSLATE(B114,""zh"",""zh-TW""),"""")"),"酒")</f>
        <v>酒</v>
      </c>
      <c r="D114" s="2" t="str">
        <f>IFERROR(__xludf.DUMMYFUNCTION("IF(B114&lt;&gt;"""",GOOGLETRANSLATE(B114,""zh"",""en""),"""")"),"liquor")</f>
        <v>liquor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 t="s">
        <v>113</v>
      </c>
      <c r="C115" s="2" t="str">
        <f>IFERROR(__xludf.DUMMYFUNCTION("IF(B115&lt;&gt;"""",GOOGLETRANSLATE(B115,""zh"",""zh-TW""),"""")"),"舅舅(媽)")</f>
        <v>舅舅(媽)</v>
      </c>
      <c r="D115" s="2" t="str">
        <f>IFERROR(__xludf.DUMMYFUNCTION("IF(B115&lt;&gt;"""",GOOGLETRANSLATE(B115,""zh"",""en""),"""")"),"(Mom)")</f>
        <v>(Mom)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 t="s">
        <v>114</v>
      </c>
      <c r="C116" s="2" t="str">
        <f>IFERROR(__xludf.DUMMYFUNCTION("IF(B116&lt;&gt;"""",GOOGLETRANSLATE(B116,""zh"",""zh-TW""),"""")"),"聯歡會")</f>
        <v>聯歡會</v>
      </c>
      <c r="D116" s="2" t="str">
        <f>IFERROR(__xludf.DUMMYFUNCTION("IF(B116&lt;&gt;"""",GOOGLETRANSLATE(B116,""zh"",""en""),"""")"),"Gala")</f>
        <v>Gala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 t="s">
        <v>115</v>
      </c>
      <c r="C117" s="2" t="str">
        <f>IFERROR(__xludf.DUMMYFUNCTION("IF(B117&lt;&gt;"""",GOOGLETRANSLATE(B117,""zh"",""zh-TW""),"""")"),"聚會")</f>
        <v>聚會</v>
      </c>
      <c r="D117" s="2" t="str">
        <f>IFERROR(__xludf.DUMMYFUNCTION("IF(B117&lt;&gt;"""",GOOGLETRANSLATE(B117,""zh"",""en""),"""")"),"reunion")</f>
        <v>reunion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 t="s">
        <v>116</v>
      </c>
      <c r="C118" s="2" t="str">
        <f>IFERROR(__xludf.DUMMYFUNCTION("IF(B118&lt;&gt;"""",GOOGLETRANSLATE(B118,""zh"",""zh-TW""),"""")"),"晚會")</f>
        <v>晚會</v>
      </c>
      <c r="D118" s="2" t="str">
        <f>IFERROR(__xludf.DUMMYFUNCTION("IF(B118&lt;&gt;"""",GOOGLETRANSLATE(B118,""zh"",""en""),"""")"),"Party")</f>
        <v>Party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 t="s">
        <v>117</v>
      </c>
      <c r="C119" s="2" t="str">
        <f>IFERROR(__xludf.DUMMYFUNCTION("IF(B119&lt;&gt;"""",GOOGLETRANSLATE(B119,""zh"",""zh-TW""),"""")"),"速食")</f>
        <v>速食</v>
      </c>
      <c r="D119" s="2" t="str">
        <f>IFERROR(__xludf.DUMMYFUNCTION("IF(B119&lt;&gt;"""",GOOGLETRANSLATE(B119,""zh"",""en""),"""")"),"fast food")</f>
        <v>fast food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 t="s">
        <v>118</v>
      </c>
      <c r="C120" s="2" t="str">
        <f>IFERROR(__xludf.DUMMYFUNCTION("IF(B120&lt;&gt;"""",GOOGLETRANSLATE(B120,""zh"",""zh-TW""),"""")"),"筷子")</f>
        <v>筷子</v>
      </c>
      <c r="D120" s="2" t="str">
        <f>IFERROR(__xludf.DUMMYFUNCTION("IF(B120&lt;&gt;"""",GOOGLETRANSLATE(B120,""zh"",""en""),"""")"),"Chopsticks")</f>
        <v>Chopsticks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 t="s">
        <v>119</v>
      </c>
      <c r="C121" s="2" t="str">
        <f>IFERROR(__xludf.DUMMYFUNCTION("IF(B121&lt;&gt;"""",GOOGLETRANSLATE(B121,""zh"",""zh-TW""),"""")"),"老年")</f>
        <v>老年</v>
      </c>
      <c r="D121" s="2" t="str">
        <f>IFERROR(__xludf.DUMMYFUNCTION("IF(B121&lt;&gt;"""",GOOGLETRANSLATE(B121,""zh"",""en""),"""")"),"elderly")</f>
        <v>elderly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 t="s">
        <v>120</v>
      </c>
      <c r="C122" s="2" t="str">
        <f>IFERROR(__xludf.DUMMYFUNCTION("IF(B122&lt;&gt;"""",GOOGLETRANSLATE(B122,""zh"",""zh-TW""),"""")"),"老太太")</f>
        <v>老太太</v>
      </c>
      <c r="D122" s="2" t="str">
        <f>IFERROR(__xludf.DUMMYFUNCTION("IF(B122&lt;&gt;"""",GOOGLETRANSLATE(B122,""zh"",""en""),"""")"),"old lady")</f>
        <v>old lady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 t="s">
        <v>121</v>
      </c>
      <c r="C123" s="2" t="str">
        <f>IFERROR(__xludf.DUMMYFUNCTION("IF(B123&lt;&gt;"""",GOOGLETRANSLATE(B123,""zh"",""zh-TW""),"""")"),"理解")</f>
        <v>理解</v>
      </c>
      <c r="D123" s="2" t="str">
        <f>IFERROR(__xludf.DUMMYFUNCTION("IF(B123&lt;&gt;"""",GOOGLETRANSLATE(B123,""zh"",""en""),"""")"),"understand")</f>
        <v>understand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 t="s">
        <v>122</v>
      </c>
      <c r="C124" s="2" t="str">
        <f>IFERROR(__xludf.DUMMYFUNCTION("IF(B124&lt;&gt;"""",GOOGLETRANSLATE(B124,""zh"",""zh-TW""),"""")"),"了解")</f>
        <v>了解</v>
      </c>
      <c r="D124" s="2" t="str">
        <f>IFERROR(__xludf.DUMMYFUNCTION("IF(B124&lt;&gt;"""",GOOGLETRANSLATE(B124,""zh"",""en""),"""")"),"learn")</f>
        <v>learn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 t="s">
        <v>123</v>
      </c>
      <c r="C125" s="2" t="str">
        <f>IFERROR(__xludf.DUMMYFUNCTION("IF(B125&lt;&gt;"""",GOOGLETRANSLATE(B125,""zh"",""zh-TW""),"""")"),"聯繫")</f>
        <v>聯繫</v>
      </c>
      <c r="D125" s="2" t="str">
        <f>IFERROR(__xludf.DUMMYFUNCTION("IF(B125&lt;&gt;"""",GOOGLETRANSLATE(B125,""zh"",""en""),"""")"),"connect")</f>
        <v>connect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 t="s">
        <v>124</v>
      </c>
      <c r="C126" s="2" t="str">
        <f>IFERROR(__xludf.DUMMYFUNCTION("IF(B126&lt;&gt;"""",GOOGLETRANSLATE(B126,""zh"",""zh-TW""),"""")"),"矛盾")</f>
        <v>矛盾</v>
      </c>
      <c r="D126" s="2" t="str">
        <f>IFERROR(__xludf.DUMMYFUNCTION("IF(B126&lt;&gt;"""",GOOGLETRANSLATE(B126,""zh"",""en""),"""")"),"contradiction")</f>
        <v>contradiction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 t="s">
        <v>125</v>
      </c>
      <c r="C127" s="2" t="str">
        <f>IFERROR(__xludf.DUMMYFUNCTION("IF(B127&lt;&gt;"""",GOOGLETRANSLATE(B127,""zh"",""zh-TW""),"""")"),"年輕")</f>
        <v>年輕</v>
      </c>
      <c r="D127" s="2" t="str">
        <f>IFERROR(__xludf.DUMMYFUNCTION("IF(B127&lt;&gt;"""",GOOGLETRANSLATE(B127,""zh"",""en""),"""")"),"young")</f>
        <v>young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 t="s">
        <v>126</v>
      </c>
      <c r="C128" s="2" t="str">
        <f>IFERROR(__xludf.DUMMYFUNCTION("IF(B128&lt;&gt;"""",GOOGLETRANSLATE(B128,""zh"",""zh-TW""),"""")"),"農曆")</f>
        <v>農曆</v>
      </c>
      <c r="D128" s="2" t="str">
        <f>IFERROR(__xludf.DUMMYFUNCTION("IF(B128&lt;&gt;"""",GOOGLETRANSLATE(B128,""zh"",""en""),"""")"),"lunar calendar")</f>
        <v>lunar calendar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 t="s">
        <v>127</v>
      </c>
      <c r="C129" s="2" t="str">
        <f>IFERROR(__xludf.DUMMYFUNCTION("IF(B129&lt;&gt;"""",GOOGLETRANSLATE(B129,""zh"",""zh-TW""),"""")"),"陪")</f>
        <v>陪</v>
      </c>
      <c r="D129" s="2" t="str">
        <f>IFERROR(__xludf.DUMMYFUNCTION("IF(B129&lt;&gt;"""",GOOGLETRANSLATE(B129,""zh"",""en""),"""")"),"accompany")</f>
        <v>accompany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 t="s">
        <v>128</v>
      </c>
      <c r="C130" s="2" t="str">
        <f>IFERROR(__xludf.DUMMYFUNCTION("IF(B130&lt;&gt;"""",GOOGLETRANSLATE(B130,""zh"",""zh-TW""),"""")"),"夫妻")</f>
        <v>夫妻</v>
      </c>
      <c r="D130" s="2" t="str">
        <f>IFERROR(__xludf.DUMMYFUNCTION("IF(B130&lt;&gt;"""",GOOGLETRANSLATE(B130,""zh"",""en""),"""")"),"couple")</f>
        <v>couple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 t="s">
        <v>129</v>
      </c>
      <c r="C131" s="2" t="str">
        <f>IFERROR(__xludf.DUMMYFUNCTION("IF(B131&lt;&gt;"""",GOOGLETRANSLATE(B131,""zh"",""zh-TW""),"""")"),"妻管炎")</f>
        <v>妻管炎</v>
      </c>
      <c r="D131" s="2" t="str">
        <f>IFERROR(__xludf.DUMMYFUNCTION("IF(B131&lt;&gt;"""",GOOGLETRANSLATE(B131,""zh"",""en""),"""")"),"Wives")</f>
        <v>Wives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 t="s">
        <v>130</v>
      </c>
      <c r="C132" s="2" t="str">
        <f>IFERROR(__xludf.DUMMYFUNCTION("IF(B132&lt;&gt;"""",GOOGLETRANSLATE(B132,""zh"",""zh-TW""),"""")"),"未婚妻")</f>
        <v>未婚妻</v>
      </c>
      <c r="D132" s="2" t="str">
        <f>IFERROR(__xludf.DUMMYFUNCTION("IF(B132&lt;&gt;"""",GOOGLETRANSLATE(B132,""zh"",""en""),"""")"),"fiancée")</f>
        <v>fiancée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 t="s">
        <v>131</v>
      </c>
      <c r="C133" s="2" t="str">
        <f>IFERROR(__xludf.DUMMYFUNCTION("IF(B133&lt;&gt;"""",GOOGLETRANSLATE(B133,""zh"",""zh-TW""),"""")"),"妻子")</f>
        <v>妻子</v>
      </c>
      <c r="D133" s="2" t="str">
        <f>IFERROR(__xludf.DUMMYFUNCTION("IF(B133&lt;&gt;"""",GOOGLETRANSLATE(B133,""zh"",""en""),"""")"),"wife")</f>
        <v>wife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 t="s">
        <v>132</v>
      </c>
      <c r="C134" s="2" t="str">
        <f>IFERROR(__xludf.DUMMYFUNCTION("IF(B134&lt;&gt;"""",GOOGLETRANSLATE(B134,""zh"",""zh-TW""),"""")"),"丈夫")</f>
        <v>丈夫</v>
      </c>
      <c r="D134" s="2" t="str">
        <f>IFERROR(__xludf.DUMMYFUNCTION("IF(B134&lt;&gt;"""",GOOGLETRANSLATE(B134,""zh"",""en""),"""")"),"husband")</f>
        <v>husband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 t="s">
        <v>133</v>
      </c>
      <c r="C135" s="2" t="str">
        <f>IFERROR(__xludf.DUMMYFUNCTION("IF(B135&lt;&gt;"""",GOOGLETRANSLATE(B135,""zh"",""zh-TW""),"""")"),"氣氛")</f>
        <v>氣氛</v>
      </c>
      <c r="D135" s="2" t="str">
        <f>IFERROR(__xludf.DUMMYFUNCTION("IF(B135&lt;&gt;"""",GOOGLETRANSLATE(B135,""zh"",""en""),"""")"),"atmosphere")</f>
        <v>atmosphere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 t="s">
        <v>134</v>
      </c>
      <c r="C136" s="2" t="str">
        <f>IFERROR(__xludf.DUMMYFUNCTION("IF(B136&lt;&gt;"""",GOOGLETRANSLATE(B136,""zh"",""zh-TW""),"""")"),"千千萬萬")</f>
        <v>千千萬萬</v>
      </c>
      <c r="D136" s="2" t="str">
        <f>IFERROR(__xludf.DUMMYFUNCTION("IF(B136&lt;&gt;"""",GOOGLETRANSLATE(B136,""zh"",""en""),"""")"),"Tens of millions")</f>
        <v>Tens of millions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 t="s">
        <v>135</v>
      </c>
      <c r="C137" s="2" t="str">
        <f>IFERROR(__xludf.DUMMYFUNCTION("IF(B137&lt;&gt;"""",GOOGLETRANSLATE(B137,""zh"",""zh-TW""),"""")"),"清淡")</f>
        <v>清淡</v>
      </c>
      <c r="D137" s="2" t="str">
        <f>IFERROR(__xludf.DUMMYFUNCTION("IF(B137&lt;&gt;"""",GOOGLETRANSLATE(B137,""zh"",""en""),"""")"),"Light")</f>
        <v>Light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 t="s">
        <v>136</v>
      </c>
      <c r="C138" s="2" t="str">
        <f>IFERROR(__xludf.DUMMYFUNCTION("IF(B138&lt;&gt;"""",GOOGLETRANSLATE(B138,""zh"",""zh-TW""),"""")"),"清蒸")</f>
        <v>清蒸</v>
      </c>
      <c r="D138" s="2" t="str">
        <f>IFERROR(__xludf.DUMMYFUNCTION("IF(B138&lt;&gt;"""",GOOGLETRANSLATE(B138,""zh"",""en""),"""")"),"Steamed")</f>
        <v>Steamed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 t="s">
        <v>137</v>
      </c>
      <c r="C139" s="2" t="str">
        <f>IFERROR(__xludf.DUMMYFUNCTION("IF(B139&lt;&gt;"""",GOOGLETRANSLATE(B139,""zh"",""zh-TW""),"""")"),"慶祝")</f>
        <v>慶祝</v>
      </c>
      <c r="D139" s="2" t="str">
        <f>IFERROR(__xludf.DUMMYFUNCTION("IF(B139&lt;&gt;"""",GOOGLETRANSLATE(B139,""zh"",""en""),"""")"),"celebrate")</f>
        <v>celebrate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 t="s">
        <v>138</v>
      </c>
      <c r="C140" s="2" t="str">
        <f>IFERROR(__xludf.DUMMYFUNCTION("IF(B140&lt;&gt;"""",GOOGLETRANSLATE(B140,""zh"",""zh-TW""),"""")"),"祝賀")</f>
        <v>祝賀</v>
      </c>
      <c r="D140" s="2" t="str">
        <f>IFERROR(__xludf.DUMMYFUNCTION("IF(B140&lt;&gt;"""",GOOGLETRANSLATE(B140,""zh"",""en""),"""")"),"congratulate")</f>
        <v>congratulate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 t="s">
        <v>139</v>
      </c>
      <c r="C141" s="2" t="str">
        <f>IFERROR(__xludf.DUMMYFUNCTION("IF(B141&lt;&gt;"""",GOOGLETRANSLATE(B141,""zh"",""zh-TW""),"""")"),"熱鬧")</f>
        <v>熱鬧</v>
      </c>
      <c r="D141" s="2" t="str">
        <f>IFERROR(__xludf.DUMMYFUNCTION("IF(B141&lt;&gt;"""",GOOGLETRANSLATE(B141,""zh"",""en""),"""")"),"lively")</f>
        <v>lively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 t="s">
        <v>140</v>
      </c>
      <c r="C142" s="2" t="str">
        <f>IFERROR(__xludf.DUMMYFUNCTION("IF(B142&lt;&gt;"""",GOOGLETRANSLATE(B142,""zh"",""zh-TW""),"""")"),"認為")</f>
        <v>認為</v>
      </c>
      <c r="D142" s="2" t="str">
        <f>IFERROR(__xludf.DUMMYFUNCTION("IF(B142&lt;&gt;"""",GOOGLETRANSLATE(B142,""zh"",""en""),"""")"),"think")</f>
        <v>think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 t="s">
        <v>141</v>
      </c>
      <c r="C143" s="2" t="str">
        <f>IFERROR(__xludf.DUMMYFUNCTION("IF(B143&lt;&gt;"""",GOOGLETRANSLATE(B143,""zh"",""zh-TW""),"""")"),"以為")</f>
        <v>以為</v>
      </c>
      <c r="D143" s="2" t="str">
        <f>IFERROR(__xludf.DUMMYFUNCTION("IF(B143&lt;&gt;"""",GOOGLETRANSLATE(B143,""zh"",""en""),"""")"),"Think")</f>
        <v>Think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 t="s">
        <v>142</v>
      </c>
      <c r="C144" s="2" t="str">
        <f>IFERROR(__xludf.DUMMYFUNCTION("IF(B144&lt;&gt;"""",GOOGLETRANSLATE(B144,""zh"",""zh-TW""),"""")"),"嫂子")</f>
        <v>嫂子</v>
      </c>
      <c r="D144" s="2" t="str">
        <f>IFERROR(__xludf.DUMMYFUNCTION("IF(B144&lt;&gt;"""",GOOGLETRANSLATE(B144,""zh"",""en""),"""")"),"sister in law")</f>
        <v>sister in law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 t="s">
        <v>143</v>
      </c>
      <c r="C145" s="2" t="str">
        <f>IFERROR(__xludf.DUMMYFUNCTION("IF(B145&lt;&gt;"""",GOOGLETRANSLATE(B145,""zh"",""zh-TW""),"""")"),"社會")</f>
        <v>社會</v>
      </c>
      <c r="D145" s="2" t="str">
        <f>IFERROR(__xludf.DUMMYFUNCTION("IF(B145&lt;&gt;"""",GOOGLETRANSLATE(B145,""zh"",""en""),"""")"),"society")</f>
        <v>society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 t="s">
        <v>144</v>
      </c>
      <c r="C146" s="2" t="str">
        <f>IFERROR(__xludf.DUMMYFUNCTION("IF(B146&lt;&gt;"""",GOOGLETRANSLATE(B146,""zh"",""zh-TW""),"""")"),"生活")</f>
        <v>生活</v>
      </c>
      <c r="D146" s="2" t="str">
        <f>IFERROR(__xludf.DUMMYFUNCTION("IF(B146&lt;&gt;"""",GOOGLETRANSLATE(B146,""zh"",""en""),"""")"),"Life")</f>
        <v>Life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 t="s">
        <v>145</v>
      </c>
      <c r="C147" s="2" t="str">
        <f>IFERROR(__xludf.DUMMYFUNCTION("IF(B147&lt;&gt;"""",GOOGLETRANSLATE(B147,""zh"",""zh-TW""),"""")"),"熟悉")</f>
        <v>熟悉</v>
      </c>
      <c r="D147" s="2" t="str">
        <f>IFERROR(__xludf.DUMMYFUNCTION("IF(B147&lt;&gt;"""",GOOGLETRANSLATE(B147,""zh"",""en""),"""")"),"familiar")</f>
        <v>familiar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 t="s">
        <v>146</v>
      </c>
      <c r="C148" s="2" t="str">
        <f>IFERROR(__xludf.DUMMYFUNCTION("IF(B148&lt;&gt;"""",GOOGLETRANSLATE(B148,""zh"",""zh-TW""),"""")"),"思考")</f>
        <v>思考</v>
      </c>
      <c r="D148" s="2" t="str">
        <f>IFERROR(__xludf.DUMMYFUNCTION("IF(B148&lt;&gt;"""",GOOGLETRANSLATE(B148,""zh"",""en""),"""")"),"think")</f>
        <v>think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 t="s">
        <v>147</v>
      </c>
      <c r="C149" s="2" t="str">
        <f>IFERROR(__xludf.DUMMYFUNCTION("IF(B149&lt;&gt;"""",GOOGLETRANSLATE(B149,""zh"",""zh-TW""),"""")"),"思想")</f>
        <v>思想</v>
      </c>
      <c r="D149" s="2" t="str">
        <f>IFERROR(__xludf.DUMMYFUNCTION("IF(B149&lt;&gt;"""",GOOGLETRANSLATE(B149,""zh"",""en""),"""")"),"Thought")</f>
        <v>Thought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 t="s">
        <v>148</v>
      </c>
      <c r="C150" s="2" t="str">
        <f>IFERROR(__xludf.DUMMYFUNCTION("IF(B150&lt;&gt;"""",GOOGLETRANSLATE(B150,""zh"",""zh-TW""),"""")"),"孫女")</f>
        <v>孫女</v>
      </c>
      <c r="D150" s="2" t="str">
        <f>IFERROR(__xludf.DUMMYFUNCTION("IF(B150&lt;&gt;"""",GOOGLETRANSLATE(B150,""zh"",""en""),"""")"),"granddaughter")</f>
        <v>granddaughter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 t="s">
        <v>149</v>
      </c>
      <c r="C151" s="2" t="str">
        <f>IFERROR(__xludf.DUMMYFUNCTION("IF(B151&lt;&gt;"""",GOOGLETRANSLATE(B151,""zh"",""zh-TW""),"""")"),"孫子")</f>
        <v>孫子</v>
      </c>
      <c r="D151" s="2" t="str">
        <f>IFERROR(__xludf.DUMMYFUNCTION("IF(B151&lt;&gt;"""",GOOGLETRANSLATE(B151,""zh"",""en""),"""")"),"grandson")</f>
        <v>grandson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 t="s">
        <v>150</v>
      </c>
      <c r="C152" s="2" t="str">
        <f>IFERROR(__xludf.DUMMYFUNCTION("IF(B152&lt;&gt;"""",GOOGLETRANSLATE(B152,""zh"",""zh-TW""),"""")"),"團圓")</f>
        <v>團圓</v>
      </c>
      <c r="D152" s="2" t="str">
        <f>IFERROR(__xludf.DUMMYFUNCTION("IF(B152&lt;&gt;"""",GOOGLETRANSLATE(B152,""zh"",""en""),"""")"),"reunion")</f>
        <v>reunion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 t="s">
        <v>151</v>
      </c>
      <c r="C153" s="2" t="str">
        <f>IFERROR(__xludf.DUMMYFUNCTION("IF(B153&lt;&gt;"""",GOOGLETRANSLATE(B153,""zh"",""zh-TW""),"""")"),"握手")</f>
        <v>握手</v>
      </c>
      <c r="D153" s="2" t="str">
        <f>IFERROR(__xludf.DUMMYFUNCTION("IF(B153&lt;&gt;"""",GOOGLETRANSLATE(B153,""zh"",""en""),"""")"),"shake hands")</f>
        <v>shake hands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 t="s">
        <v>152</v>
      </c>
      <c r="C154" s="2" t="str">
        <f>IFERROR(__xludf.DUMMYFUNCTION("IF(B154&lt;&gt;"""",GOOGLETRANSLATE(B154,""zh"",""zh-TW""),"""")"),"禮物")</f>
        <v>禮物</v>
      </c>
      <c r="D154" s="2" t="str">
        <f>IFERROR(__xludf.DUMMYFUNCTION("IF(B154&lt;&gt;"""",GOOGLETRANSLATE(B154,""zh"",""en""),"""")"),"Gift")</f>
        <v>Gift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 t="s">
        <v>50</v>
      </c>
      <c r="C155" s="2" t="str">
        <f>IFERROR(__xludf.DUMMYFUNCTION("IF(B155&lt;&gt;"""",GOOGLETRANSLATE(B155,""zh"",""zh-TW""),"""")"),"相處")</f>
        <v>相處</v>
      </c>
      <c r="D155" s="2" t="str">
        <f>IFERROR(__xludf.DUMMYFUNCTION("IF(B155&lt;&gt;"""",GOOGLETRANSLATE(B155,""zh"",""en""),"""")"),"get along")</f>
        <v>get along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 t="s">
        <v>153</v>
      </c>
      <c r="C156" s="2" t="str">
        <f>IFERROR(__xludf.DUMMYFUNCTION("IF(B156&lt;&gt;"""",GOOGLETRANSLATE(B156,""zh"",""zh-TW""),"""")"),"幸福")</f>
        <v>幸福</v>
      </c>
      <c r="D156" s="2" t="str">
        <f>IFERROR(__xludf.DUMMYFUNCTION("IF(B156&lt;&gt;"""",GOOGLETRANSLATE(B156,""zh"",""en""),"""")"),"happiness")</f>
        <v>happiness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 t="s">
        <v>154</v>
      </c>
      <c r="C157" s="2" t="str">
        <f>IFERROR(__xludf.DUMMYFUNCTION("IF(B157&lt;&gt;"""",GOOGLETRANSLATE(B157,""zh"",""zh-TW""),"""")"),"擁抱")</f>
        <v>擁抱</v>
      </c>
      <c r="D157" s="2" t="str">
        <f>IFERROR(__xludf.DUMMYFUNCTION("IF(B157&lt;&gt;"""",GOOGLETRANSLATE(B157,""zh"",""en""),"""")"),"Embrace")</f>
        <v>Embrace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 t="s">
        <v>155</v>
      </c>
      <c r="C158" s="2" t="str">
        <f>IFERROR(__xludf.DUMMYFUNCTION("IF(B158&lt;&gt;"""",GOOGLETRANSLATE(B158,""zh"",""zh-TW""),"""")"),"元宵節")</f>
        <v>元宵節</v>
      </c>
      <c r="D158" s="2" t="str">
        <f>IFERROR(__xludf.DUMMYFUNCTION("IF(B158&lt;&gt;"""",GOOGLETRANSLATE(B158,""zh"",""en""),"""")"),"Lantern Festival")</f>
        <v>Lantern Festival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 t="s">
        <v>156</v>
      </c>
      <c r="C159" s="2" t="str">
        <f>IFERROR(__xludf.DUMMYFUNCTION("IF(B159&lt;&gt;"""",GOOGLETRANSLATE(B159,""zh"",""zh-TW""),"""")"),"月餅")</f>
        <v>月餅</v>
      </c>
      <c r="D159" s="2" t="str">
        <f>IFERROR(__xludf.DUMMYFUNCTION("IF(B159&lt;&gt;"""",GOOGLETRANSLATE(B159,""zh"",""en""),"""")"),"moon cake")</f>
        <v>moon cake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 t="s">
        <v>157</v>
      </c>
      <c r="C160" s="2" t="str">
        <f>IFERROR(__xludf.DUMMYFUNCTION("IF(B160&lt;&gt;"""",GOOGLETRANSLATE(B160,""zh"",""zh-TW""),"""")"),"正月")</f>
        <v>正月</v>
      </c>
      <c r="D160" s="2" t="str">
        <f>IFERROR(__xludf.DUMMYFUNCTION("IF(B160&lt;&gt;"""",GOOGLETRANSLATE(B160,""zh"",""en""),"""")"),"First month")</f>
        <v>First month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 t="s">
        <v>158</v>
      </c>
      <c r="C161" s="2" t="str">
        <f>IFERROR(__xludf.DUMMYFUNCTION("IF(B161&lt;&gt;"""",GOOGLETRANSLATE(B161,""zh"",""zh-TW""),"""")"),"粽子")</f>
        <v>粽子</v>
      </c>
      <c r="D161" s="2" t="str">
        <f>IFERROR(__xludf.DUMMYFUNCTION("IF(B161&lt;&gt;"""",GOOGLETRANSLATE(B161,""zh"",""en""),"""")"),"Zongzi")</f>
        <v>Zongzi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