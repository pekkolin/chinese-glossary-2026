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Jk8W3xVmbEDwQLVSkYNKlArMvtHBNpAK9SVxcMtZFo="/>
    </ext>
  </extLst>
</workbook>
</file>

<file path=xl/sharedStrings.xml><?xml version="1.0" encoding="utf-8"?>
<sst xmlns="http://schemas.openxmlformats.org/spreadsheetml/2006/main" count="60" uniqueCount="58">
  <si>
    <t xml:space="preserve">Feel free to catelogue the vocabulary, such as the devices, the internet vocabulary, etc. </t>
  </si>
  <si>
    <t>拼音</t>
  </si>
  <si>
    <t>中文简体</t>
  </si>
  <si>
    <t>中文繁体</t>
  </si>
  <si>
    <t>英文</t>
  </si>
  <si>
    <t>博客</t>
  </si>
  <si>
    <t>网络</t>
  </si>
  <si>
    <t>微信</t>
  </si>
  <si>
    <t>支付宝</t>
  </si>
  <si>
    <t>利弊</t>
  </si>
  <si>
    <t>软件</t>
  </si>
  <si>
    <t>上瘾</t>
  </si>
  <si>
    <t>网站</t>
  </si>
  <si>
    <t>网上银行</t>
  </si>
  <si>
    <t>下载</t>
  </si>
  <si>
    <t>新鲜</t>
  </si>
  <si>
    <t>游戏</t>
  </si>
  <si>
    <t>影响</t>
  </si>
  <si>
    <t>空调</t>
  </si>
  <si>
    <t>冰箱</t>
  </si>
  <si>
    <t>发短信</t>
  </si>
  <si>
    <t>电车</t>
  </si>
  <si>
    <t>计程车</t>
  </si>
  <si>
    <t>船</t>
  </si>
  <si>
    <t>火车</t>
  </si>
  <si>
    <t>设计</t>
  </si>
  <si>
    <t>申请</t>
  </si>
  <si>
    <t>烘干机</t>
  </si>
  <si>
    <t>纬度</t>
  </si>
  <si>
    <t>洗衣机</t>
  </si>
  <si>
    <t>新闻</t>
  </si>
  <si>
    <t>发电</t>
  </si>
  <si>
    <t>发明</t>
  </si>
  <si>
    <t>活字印刷</t>
  </si>
  <si>
    <t>火药</t>
  </si>
  <si>
    <t>指南针</t>
  </si>
  <si>
    <t>造纸</t>
  </si>
  <si>
    <t>记载</t>
  </si>
  <si>
    <t>科学</t>
  </si>
  <si>
    <t>技术</t>
  </si>
  <si>
    <t>热水器</t>
  </si>
  <si>
    <t>数位</t>
  </si>
  <si>
    <t>太阳</t>
  </si>
  <si>
    <t>太阳能</t>
  </si>
  <si>
    <t>文明</t>
  </si>
  <si>
    <t>先进</t>
  </si>
  <si>
    <t>短消息</t>
  </si>
  <si>
    <t>资料</t>
  </si>
  <si>
    <t>自行车</t>
  </si>
  <si>
    <t>自助服务</t>
  </si>
  <si>
    <t>语音信箱</t>
  </si>
  <si>
    <t>查询</t>
  </si>
  <si>
    <t>用户</t>
  </si>
  <si>
    <t>密码</t>
  </si>
  <si>
    <t>低头族</t>
  </si>
  <si>
    <t>手机</t>
  </si>
  <si>
    <t>信号</t>
  </si>
  <si>
    <t>人工智能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</si>
</sst>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63"/>
    <col customWidth="1" min="5" max="7" width="12.63"/>
  </cols>
  <sheetData>
    <row r="1" ht="15.7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ht="15.75" customHeight="1">
      <c r="A2" s="3" t="s">
        <v>1</v>
      </c>
      <c r="B2" s="3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15.75" customHeight="1">
      <c r="A3" s="2"/>
      <c r="B3" s="2" t="s">
        <v>5</v>
      </c>
      <c r="C3" s="2" t="str">
        <f>IFERROR(__xludf.DUMMYFUNCTION("IF(B3&lt;&gt;"""",GOOGLETRANSLATE(B3,""zh"",""zh-TW""),"""")"),"部落格")</f>
        <v>部落格</v>
      </c>
      <c r="D3" s="2" t="str">
        <f>IFERROR(__xludf.DUMMYFUNCTION("IF(B3&lt;&gt;"""",GOOGLETRANSLATE(B3,""zh"",""en""),"""")"),"blog")</f>
        <v>blog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5.75" customHeight="1">
      <c r="A4" s="2"/>
      <c r="B4" s="2" t="s">
        <v>6</v>
      </c>
      <c r="C4" s="2" t="str">
        <f>IFERROR(__xludf.DUMMYFUNCTION("IF(B4&lt;&gt;"""",GOOGLETRANSLATE(B4,""zh"",""zh-TW""),"""")"),"網絡")</f>
        <v>網絡</v>
      </c>
      <c r="D4" s="2" t="str">
        <f>IFERROR(__xludf.DUMMYFUNCTION("IF(B4&lt;&gt;"""",GOOGLETRANSLATE(B4,""zh"",""en""),"""")"),"network")</f>
        <v>network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ht="15.75" customHeight="1">
      <c r="A5" s="2"/>
      <c r="B5" s="2" t="s">
        <v>7</v>
      </c>
      <c r="C5" s="2" t="str">
        <f>IFERROR(__xludf.DUMMYFUNCTION("IF(B5&lt;&gt;"""",GOOGLETRANSLATE(B5,""zh"",""zh-TW""),"""")"),"微信")</f>
        <v>微信</v>
      </c>
      <c r="D5" s="2" t="str">
        <f>IFERROR(__xludf.DUMMYFUNCTION("IF(B5&lt;&gt;"""",GOOGLETRANSLATE(B5,""zh"",""en""),"""")"),"WeChat")</f>
        <v>WeChat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ht="15.75" customHeight="1">
      <c r="A6" s="2"/>
      <c r="B6" s="2" t="s">
        <v>8</v>
      </c>
      <c r="C6" s="2" t="str">
        <f>IFERROR(__xludf.DUMMYFUNCTION("IF(B6&lt;&gt;"""",GOOGLETRANSLATE(B6,""zh"",""zh-TW""),"""")"),"支付寶")</f>
        <v>支付寶</v>
      </c>
      <c r="D6" s="2" t="str">
        <f>IFERROR(__xludf.DUMMYFUNCTION("IF(B6&lt;&gt;"""",GOOGLETRANSLATE(B6,""zh"",""en""),"""")"),"Alipay")</f>
        <v>Alipay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ht="15.75" customHeight="1">
      <c r="A7" s="2"/>
      <c r="B7" s="2" t="s">
        <v>9</v>
      </c>
      <c r="C7" s="2" t="str">
        <f>IFERROR(__xludf.DUMMYFUNCTION("IF(B7&lt;&gt;"""",GOOGLETRANSLATE(B7,""zh"",""zh-TW""),"""")"),"利弊")</f>
        <v>利弊</v>
      </c>
      <c r="D7" s="2" t="str">
        <f>IFERROR(__xludf.DUMMYFUNCTION("IF(B7&lt;&gt;"""",GOOGLETRANSLATE(B7,""zh"",""en""),"""")"),"Prosperity")</f>
        <v>Prosperity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ht="15.75" customHeight="1">
      <c r="A8" s="2"/>
      <c r="B8" s="2" t="s">
        <v>10</v>
      </c>
      <c r="C8" s="2" t="str">
        <f>IFERROR(__xludf.DUMMYFUNCTION("IF(B8&lt;&gt;"""",GOOGLETRANSLATE(B8,""zh"",""zh-TW""),"""")"),"軟體")</f>
        <v>軟體</v>
      </c>
      <c r="D8" s="2" t="str">
        <f>IFERROR(__xludf.DUMMYFUNCTION("IF(B8&lt;&gt;"""",GOOGLETRANSLATE(B8,""zh"",""en""),"""")"),"software")</f>
        <v>software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ht="15.75" customHeight="1">
      <c r="A9" s="2"/>
      <c r="B9" s="2" t="s">
        <v>11</v>
      </c>
      <c r="C9" s="2" t="str">
        <f>IFERROR(__xludf.DUMMYFUNCTION("IF(B9&lt;&gt;"""",GOOGLETRANSLATE(B9,""zh"",""zh-TW""),"""")"),"上癮")</f>
        <v>上癮</v>
      </c>
      <c r="D9" s="2" t="str">
        <f>IFERROR(__xludf.DUMMYFUNCTION("IF(B9&lt;&gt;"""",GOOGLETRANSLATE(B9,""zh"",""en""),"""")"),"Addiction")</f>
        <v>Addiction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ht="15.75" customHeight="1">
      <c r="A10" s="2"/>
      <c r="B10" s="2" t="s">
        <v>12</v>
      </c>
      <c r="C10" s="2" t="str">
        <f>IFERROR(__xludf.DUMMYFUNCTION("IF(B10&lt;&gt;"""",GOOGLETRANSLATE(B10,""zh"",""zh-TW""),"""")"),"網站")</f>
        <v>網站</v>
      </c>
      <c r="D10" s="2" t="str">
        <f>IFERROR(__xludf.DUMMYFUNCTION("IF(B10&lt;&gt;"""",GOOGLETRANSLATE(B10,""zh"",""en""),"""")"),"website")</f>
        <v>website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ht="15.75" customHeight="1">
      <c r="A11" s="2"/>
      <c r="B11" s="2" t="s">
        <v>13</v>
      </c>
      <c r="C11" s="2" t="str">
        <f>IFERROR(__xludf.DUMMYFUNCTION("IF(B11&lt;&gt;"""",GOOGLETRANSLATE(B11,""zh"",""zh-TW""),"""")"),"網上銀行")</f>
        <v>網上銀行</v>
      </c>
      <c r="D11" s="2" t="str">
        <f>IFERROR(__xludf.DUMMYFUNCTION("IF(B11&lt;&gt;"""",GOOGLETRANSLATE(B11,""zh"",""en""),"""")"),"online banking")</f>
        <v>online banking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ht="15.75" customHeight="1">
      <c r="A12" s="2"/>
      <c r="B12" s="2" t="s">
        <v>14</v>
      </c>
      <c r="C12" s="2" t="str">
        <f>IFERROR(__xludf.DUMMYFUNCTION("IF(B12&lt;&gt;"""",GOOGLETRANSLATE(B12,""zh"",""zh-TW""),"""")"),"下載")</f>
        <v>下載</v>
      </c>
      <c r="D12" s="2" t="str">
        <f>IFERROR(__xludf.DUMMYFUNCTION("IF(B12&lt;&gt;"""",GOOGLETRANSLATE(B12,""zh"",""en""),"""")"),"download")</f>
        <v>download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ht="15.75" customHeight="1">
      <c r="A13" s="2"/>
      <c r="B13" s="2" t="s">
        <v>15</v>
      </c>
      <c r="C13" s="2" t="str">
        <f>IFERROR(__xludf.DUMMYFUNCTION("IF(B13&lt;&gt;"""",GOOGLETRANSLATE(B13,""zh"",""zh-TW""),"""")"),"新鮮")</f>
        <v>新鮮</v>
      </c>
      <c r="D13" s="2" t="str">
        <f>IFERROR(__xludf.DUMMYFUNCTION("IF(B13&lt;&gt;"""",GOOGLETRANSLATE(B13,""zh"",""en""),"""")"),"Fresh")</f>
        <v>Fresh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ht="15.75" customHeight="1">
      <c r="A14" s="2"/>
      <c r="B14" s="2" t="s">
        <v>16</v>
      </c>
      <c r="C14" s="2" t="str">
        <f>IFERROR(__xludf.DUMMYFUNCTION("IF(B14&lt;&gt;"""",GOOGLETRANSLATE(B14,""zh"",""zh-TW""),"""")"),"遊戲")</f>
        <v>遊戲</v>
      </c>
      <c r="D14" s="2" t="str">
        <f>IFERROR(__xludf.DUMMYFUNCTION("IF(B14&lt;&gt;"""",GOOGLETRANSLATE(B14,""zh"",""en""),"""")"),"game")</f>
        <v>game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ht="15.75" customHeight="1">
      <c r="A15" s="2"/>
      <c r="B15" s="2" t="s">
        <v>17</v>
      </c>
      <c r="C15" s="2" t="str">
        <f>IFERROR(__xludf.DUMMYFUNCTION("IF(B15&lt;&gt;"""",GOOGLETRANSLATE(B15,""zh"",""zh-TW""),"""")"),"影響")</f>
        <v>影響</v>
      </c>
      <c r="D15" s="2" t="str">
        <f>IFERROR(__xludf.DUMMYFUNCTION("IF(B15&lt;&gt;"""",GOOGLETRANSLATE(B15,""zh"",""en""),"""")"),"Influence")</f>
        <v>Influence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ht="15.75" customHeight="1">
      <c r="A16" s="2"/>
      <c r="B16" s="2" t="s">
        <v>18</v>
      </c>
      <c r="C16" s="2" t="str">
        <f>IFERROR(__xludf.DUMMYFUNCTION("IF(B16&lt;&gt;"""",GOOGLETRANSLATE(B16,""zh"",""zh-TW""),"""")"),"空調")</f>
        <v>空調</v>
      </c>
      <c r="D16" s="2" t="str">
        <f>IFERROR(__xludf.DUMMYFUNCTION("IF(B16&lt;&gt;"""",GOOGLETRANSLATE(B16,""zh"",""en""),"""")"),"air conditioner")</f>
        <v>air conditioner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ht="15.75" customHeight="1">
      <c r="A17" s="2"/>
      <c r="B17" s="2" t="s">
        <v>19</v>
      </c>
      <c r="C17" s="2" t="str">
        <f>IFERROR(__xludf.DUMMYFUNCTION("IF(B17&lt;&gt;"""",GOOGLETRANSLATE(B17,""zh"",""zh-TW""),"""")"),"冰箱")</f>
        <v>冰箱</v>
      </c>
      <c r="D17" s="2" t="str">
        <f>IFERROR(__xludf.DUMMYFUNCTION("IF(B17&lt;&gt;"""",GOOGLETRANSLATE(B17,""zh"",""en""),"""")"),"refrigerator")</f>
        <v>refrigerator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ht="15.75" customHeight="1">
      <c r="A18" s="2"/>
      <c r="B18" s="2" t="s">
        <v>20</v>
      </c>
      <c r="C18" s="2" t="str">
        <f>IFERROR(__xludf.DUMMYFUNCTION("IF(B18&lt;&gt;"""",GOOGLETRANSLATE(B18,""zh"",""zh-TW""),"""")"),"發短信")</f>
        <v>發短信</v>
      </c>
      <c r="D18" s="2" t="str">
        <f>IFERROR(__xludf.DUMMYFUNCTION("IF(B18&lt;&gt;"""",GOOGLETRANSLATE(B18,""zh"",""en""),"""")"),"Send a text message")</f>
        <v>Send a text message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ht="15.75" customHeight="1">
      <c r="A19" s="2"/>
      <c r="B19" s="2" t="s">
        <v>21</v>
      </c>
      <c r="C19" s="2" t="str">
        <f>IFERROR(__xludf.DUMMYFUNCTION("IF(B19&lt;&gt;"""",GOOGLETRANSLATE(B19,""zh"",""zh-TW""),"""")"),"電車")</f>
        <v>電車</v>
      </c>
      <c r="D19" s="2" t="str">
        <f>IFERROR(__xludf.DUMMYFUNCTION("IF(B19&lt;&gt;"""",GOOGLETRANSLATE(B19,""zh"",""en""),"""")"),"tram")</f>
        <v>tram</v>
      </c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ht="15.75" customHeight="1">
      <c r="A20" s="2"/>
      <c r="B20" s="2" t="s">
        <v>22</v>
      </c>
      <c r="C20" s="2" t="str">
        <f>IFERROR(__xludf.DUMMYFUNCTION("IF(B20&lt;&gt;"""",GOOGLETRANSLATE(B20,""zh"",""zh-TW""),"""")"),"計程車")</f>
        <v>計程車</v>
      </c>
      <c r="D20" s="2" t="str">
        <f>IFERROR(__xludf.DUMMYFUNCTION("IF(B20&lt;&gt;"""",GOOGLETRANSLATE(B20,""zh"",""en""),"""")"),"taxi")</f>
        <v>taxi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ht="15.75" customHeight="1">
      <c r="A21" s="2"/>
      <c r="B21" s="2" t="s">
        <v>23</v>
      </c>
      <c r="C21" s="2" t="str">
        <f>IFERROR(__xludf.DUMMYFUNCTION("IF(B21&lt;&gt;"""",GOOGLETRANSLATE(B21,""zh"",""zh-TW""),"""")"),"船")</f>
        <v>船</v>
      </c>
      <c r="D21" s="2" t="str">
        <f>IFERROR(__xludf.DUMMYFUNCTION("IF(B21&lt;&gt;"""",GOOGLETRANSLATE(B21,""zh"",""en""),"""")"),"Boat")</f>
        <v>Boat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ht="15.75" customHeight="1">
      <c r="A22" s="2"/>
      <c r="B22" s="2" t="s">
        <v>24</v>
      </c>
      <c r="C22" s="2" t="str">
        <f>IFERROR(__xludf.DUMMYFUNCTION("IF(B22&lt;&gt;"""",GOOGLETRANSLATE(B22,""zh"",""zh-TW""),"""")"),"火車")</f>
        <v>火車</v>
      </c>
      <c r="D22" s="2" t="str">
        <f>IFERROR(__xludf.DUMMYFUNCTION("IF(B22&lt;&gt;"""",GOOGLETRANSLATE(B22,""zh"",""en""),"""")"),"train")</f>
        <v>train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ht="15.75" customHeight="1">
      <c r="A23" s="2"/>
      <c r="B23" s="2" t="s">
        <v>25</v>
      </c>
      <c r="C23" s="2" t="str">
        <f>IFERROR(__xludf.DUMMYFUNCTION("IF(B23&lt;&gt;"""",GOOGLETRANSLATE(B23,""zh"",""zh-TW""),"""")"),"設計")</f>
        <v>設計</v>
      </c>
      <c r="D23" s="2" t="str">
        <f>IFERROR(__xludf.DUMMYFUNCTION("IF(B23&lt;&gt;"""",GOOGLETRANSLATE(B23,""zh"",""en""),"""")"),"design")</f>
        <v>design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ht="15.75" customHeight="1">
      <c r="A24" s="2"/>
      <c r="B24" s="2" t="s">
        <v>26</v>
      </c>
      <c r="C24" s="2" t="str">
        <f>IFERROR(__xludf.DUMMYFUNCTION("IF(B24&lt;&gt;"""",GOOGLETRANSLATE(B24,""zh"",""zh-TW""),"""")"),"申請")</f>
        <v>申請</v>
      </c>
      <c r="D24" s="2" t="str">
        <f>IFERROR(__xludf.DUMMYFUNCTION("IF(B24&lt;&gt;"""",GOOGLETRANSLATE(B24,""zh"",""en""),"""")"),"Apply")</f>
        <v>Apply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ht="15.75" customHeight="1">
      <c r="A25" s="2"/>
      <c r="B25" s="2" t="s">
        <v>23</v>
      </c>
      <c r="C25" s="2" t="str">
        <f>IFERROR(__xludf.DUMMYFUNCTION("IF(B25&lt;&gt;"""",GOOGLETRANSLATE(B25,""zh"",""zh-TW""),"""")"),"船")</f>
        <v>船</v>
      </c>
      <c r="D25" s="2" t="str">
        <f>IFERROR(__xludf.DUMMYFUNCTION("IF(B25&lt;&gt;"""",GOOGLETRANSLATE(B25,""zh"",""en""),"""")"),"Boat")</f>
        <v>Boat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ht="15.75" customHeight="1">
      <c r="A26" s="2"/>
      <c r="B26" s="2" t="s">
        <v>27</v>
      </c>
      <c r="C26" s="2" t="str">
        <f>IFERROR(__xludf.DUMMYFUNCTION("IF(B26&lt;&gt;"""",GOOGLETRANSLATE(B26,""zh"",""zh-TW""),"""")"),"烘乾機")</f>
        <v>烘乾機</v>
      </c>
      <c r="D26" s="2" t="str">
        <f>IFERROR(__xludf.DUMMYFUNCTION("IF(B26&lt;&gt;"""",GOOGLETRANSLATE(B26,""zh"",""en""),"""")"),"Dryer")</f>
        <v>Dryer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ht="15.75" customHeight="1">
      <c r="A27" s="2"/>
      <c r="B27" s="2" t="s">
        <v>28</v>
      </c>
      <c r="C27" s="2" t="str">
        <f>IFERROR(__xludf.DUMMYFUNCTION("IF(B27&lt;&gt;"""",GOOGLETRANSLATE(B27,""zh"",""zh-TW""),"""")"),"緯度")</f>
        <v>緯度</v>
      </c>
      <c r="D27" s="2" t="str">
        <f>IFERROR(__xludf.DUMMYFUNCTION("IF(B27&lt;&gt;"""",GOOGLETRANSLATE(B27,""zh"",""en""),"""")"),"latitude")</f>
        <v>latitude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ht="15.75" customHeight="1">
      <c r="A28" s="2"/>
      <c r="B28" s="2" t="s">
        <v>29</v>
      </c>
      <c r="C28" s="2" t="str">
        <f>IFERROR(__xludf.DUMMYFUNCTION("IF(B28&lt;&gt;"""",GOOGLETRANSLATE(B28,""zh"",""zh-TW""),"""")"),"洗衣機")</f>
        <v>洗衣機</v>
      </c>
      <c r="D28" s="2" t="str">
        <f>IFERROR(__xludf.DUMMYFUNCTION("IF(B28&lt;&gt;"""",GOOGLETRANSLATE(B28,""zh"",""en""),"""")"),"washing machine")</f>
        <v>washing machine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ht="15.75" customHeight="1">
      <c r="A29" s="2"/>
      <c r="B29" s="2" t="s">
        <v>30</v>
      </c>
      <c r="C29" s="2" t="str">
        <f>IFERROR(__xludf.DUMMYFUNCTION("IF(B29&lt;&gt;"""",GOOGLETRANSLATE(B29,""zh"",""zh-TW""),"""")"),"新聞")</f>
        <v>新聞</v>
      </c>
      <c r="D29" s="2" t="str">
        <f>IFERROR(__xludf.DUMMYFUNCTION("IF(B29&lt;&gt;"""",GOOGLETRANSLATE(B29,""zh"",""en""),"""")"),"news")</f>
        <v>news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ht="15.75" customHeight="1">
      <c r="A30" s="2"/>
      <c r="B30" s="2" t="s">
        <v>31</v>
      </c>
      <c r="C30" s="2" t="str">
        <f>IFERROR(__xludf.DUMMYFUNCTION("IF(B30&lt;&gt;"""",GOOGLETRANSLATE(B30,""zh"",""zh-TW""),"""")"),"發電")</f>
        <v>發電</v>
      </c>
      <c r="D30" s="2" t="str">
        <f>IFERROR(__xludf.DUMMYFUNCTION("IF(B30&lt;&gt;"""",GOOGLETRANSLATE(B30,""zh"",""en""),"""")"),"Generate electricity")</f>
        <v>Generate electricity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ht="15.75" customHeight="1">
      <c r="A31" s="2"/>
      <c r="B31" s="2" t="s">
        <v>32</v>
      </c>
      <c r="C31" s="2" t="str">
        <f>IFERROR(__xludf.DUMMYFUNCTION("IF(B31&lt;&gt;"""",GOOGLETRANSLATE(B31,""zh"",""zh-TW""),"""")"),"發明")</f>
        <v>發明</v>
      </c>
      <c r="D31" s="2" t="str">
        <f>IFERROR(__xludf.DUMMYFUNCTION("IF(B31&lt;&gt;"""",GOOGLETRANSLATE(B31,""zh"",""en""),"""")"),"invention")</f>
        <v>invention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ht="15.75" customHeight="1">
      <c r="A32" s="2"/>
      <c r="B32" s="2" t="s">
        <v>33</v>
      </c>
      <c r="C32" s="2" t="str">
        <f>IFERROR(__xludf.DUMMYFUNCTION("IF(B32&lt;&gt;"""",GOOGLETRANSLATE(B32,""zh"",""zh-TW""),"""")"),"活字印刷")</f>
        <v>活字印刷</v>
      </c>
      <c r="D32" s="2" t="str">
        <f>IFERROR(__xludf.DUMMYFUNCTION("IF(B32&lt;&gt;"""",GOOGLETRANSLATE(B32,""zh"",""en""),"""")"),"Live printing")</f>
        <v>Live printing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ht="15.75" customHeight="1">
      <c r="A33" s="2"/>
      <c r="B33" s="2" t="s">
        <v>34</v>
      </c>
      <c r="C33" s="2" t="str">
        <f>IFERROR(__xludf.DUMMYFUNCTION("IF(B33&lt;&gt;"""",GOOGLETRANSLATE(B33,""zh"",""zh-TW""),"""")"),"火藥")</f>
        <v>火藥</v>
      </c>
      <c r="D33" s="2" t="str">
        <f>IFERROR(__xludf.DUMMYFUNCTION("IF(B33&lt;&gt;"""",GOOGLETRANSLATE(B33,""zh"",""en""),"""")"),"gunpowder")</f>
        <v>gunpowder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ht="15.75" customHeight="1">
      <c r="A34" s="2"/>
      <c r="B34" s="2" t="s">
        <v>35</v>
      </c>
      <c r="C34" s="2" t="str">
        <f>IFERROR(__xludf.DUMMYFUNCTION("IF(B34&lt;&gt;"""",GOOGLETRANSLATE(B34,""zh"",""zh-TW""),"""")"),"指南針")</f>
        <v>指南針</v>
      </c>
      <c r="D34" s="2" t="str">
        <f>IFERROR(__xludf.DUMMYFUNCTION("IF(B34&lt;&gt;"""",GOOGLETRANSLATE(B34,""zh"",""en""),"""")"),"compass")</f>
        <v>compass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ht="15.75" customHeight="1">
      <c r="A35" s="2"/>
      <c r="B35" s="2" t="s">
        <v>36</v>
      </c>
      <c r="C35" s="2" t="str">
        <f>IFERROR(__xludf.DUMMYFUNCTION("IF(B35&lt;&gt;"""",GOOGLETRANSLATE(B35,""zh"",""zh-TW""),"""")"),"造紙")</f>
        <v>造紙</v>
      </c>
      <c r="D35" s="2" t="str">
        <f>IFERROR(__xludf.DUMMYFUNCTION("IF(B35&lt;&gt;"""",GOOGLETRANSLATE(B35,""zh"",""en""),"""")"),"papermaking")</f>
        <v>papermaking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ht="15.75" customHeight="1">
      <c r="A36" s="2"/>
      <c r="B36" s="2" t="s">
        <v>37</v>
      </c>
      <c r="C36" s="2" t="str">
        <f>IFERROR(__xludf.DUMMYFUNCTION("IF(B36&lt;&gt;"""",GOOGLETRANSLATE(B36,""zh"",""zh-TW""),"""")"),"記載")</f>
        <v>記載</v>
      </c>
      <c r="D36" s="2" t="str">
        <f>IFERROR(__xludf.DUMMYFUNCTION("IF(B36&lt;&gt;"""",GOOGLETRANSLATE(B36,""zh"",""en""),"""")"),"Record")</f>
        <v>Record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ht="15.75" customHeight="1">
      <c r="A37" s="2"/>
      <c r="B37" s="2" t="s">
        <v>38</v>
      </c>
      <c r="C37" s="2" t="str">
        <f>IFERROR(__xludf.DUMMYFUNCTION("IF(B37&lt;&gt;"""",GOOGLETRANSLATE(B37,""zh"",""zh-TW""),"""")"),"科學")</f>
        <v>科學</v>
      </c>
      <c r="D37" s="2" t="str">
        <f>IFERROR(__xludf.DUMMYFUNCTION("IF(B37&lt;&gt;"""",GOOGLETRANSLATE(B37,""zh"",""en""),"""")"),"science")</f>
        <v>science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ht="15.75" customHeight="1">
      <c r="A38" s="2"/>
      <c r="B38" s="2" t="s">
        <v>39</v>
      </c>
      <c r="C38" s="2" t="str">
        <f>IFERROR(__xludf.DUMMYFUNCTION("IF(B38&lt;&gt;"""",GOOGLETRANSLATE(B38,""zh"",""zh-TW""),"""")"),"技術")</f>
        <v>技術</v>
      </c>
      <c r="D38" s="2" t="str">
        <f>IFERROR(__xludf.DUMMYFUNCTION("IF(B38&lt;&gt;"""",GOOGLETRANSLATE(B38,""zh"",""en""),"""")"),"technology")</f>
        <v>technology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ht="15.75" customHeight="1">
      <c r="A39" s="2"/>
      <c r="B39" s="2" t="s">
        <v>40</v>
      </c>
      <c r="C39" s="2" t="str">
        <f>IFERROR(__xludf.DUMMYFUNCTION("IF(B39&lt;&gt;"""",GOOGLETRANSLATE(B39,""zh"",""zh-TW""),"""")"),"熱水器")</f>
        <v>熱水器</v>
      </c>
      <c r="D39" s="2" t="str">
        <f>IFERROR(__xludf.DUMMYFUNCTION("IF(B39&lt;&gt;"""",GOOGLETRANSLATE(B39,""zh"",""en""),"""")"),"Water heater")</f>
        <v>Water heater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ht="15.75" customHeight="1">
      <c r="A40" s="2"/>
      <c r="B40" s="2" t="s">
        <v>11</v>
      </c>
      <c r="C40" s="2" t="str">
        <f>IFERROR(__xludf.DUMMYFUNCTION("IF(B40&lt;&gt;"""",GOOGLETRANSLATE(B40,""zh"",""zh-TW""),"""")"),"上癮")</f>
        <v>上癮</v>
      </c>
      <c r="D40" s="2" t="str">
        <f>IFERROR(__xludf.DUMMYFUNCTION("IF(B40&lt;&gt;"""",GOOGLETRANSLATE(B40,""zh"",""en""),"""")"),"Addiction")</f>
        <v>Addiction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ht="15.75" customHeight="1">
      <c r="A41" s="2"/>
      <c r="B41" s="2" t="s">
        <v>41</v>
      </c>
      <c r="C41" s="2" t="str">
        <f>IFERROR(__xludf.DUMMYFUNCTION("IF(B41&lt;&gt;"""",GOOGLETRANSLATE(B41,""zh"",""zh-TW""),"""")"),"數位")</f>
        <v>數位</v>
      </c>
      <c r="D41" s="2" t="str">
        <f>IFERROR(__xludf.DUMMYFUNCTION("IF(B41&lt;&gt;"""",GOOGLETRANSLATE(B41,""zh"",""en""),"""")"),"digit")</f>
        <v>digit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ht="15.75" customHeight="1">
      <c r="A42" s="2"/>
      <c r="B42" s="2" t="s">
        <v>42</v>
      </c>
      <c r="C42" s="2" t="str">
        <f>IFERROR(__xludf.DUMMYFUNCTION("IF(B42&lt;&gt;"""",GOOGLETRANSLATE(B42,""zh"",""zh-TW""),"""")"),"太陽")</f>
        <v>太陽</v>
      </c>
      <c r="D42" s="2" t="str">
        <f>IFERROR(__xludf.DUMMYFUNCTION("IF(B42&lt;&gt;"""",GOOGLETRANSLATE(B42,""zh"",""en""),"""")"),"sun")</f>
        <v>sun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ht="15.75" customHeight="1">
      <c r="A43" s="2"/>
      <c r="B43" s="2" t="s">
        <v>43</v>
      </c>
      <c r="C43" s="2" t="str">
        <f>IFERROR(__xludf.DUMMYFUNCTION("IF(B43&lt;&gt;"""",GOOGLETRANSLATE(B43,""zh"",""zh-TW""),"""")"),"太陽能")</f>
        <v>太陽能</v>
      </c>
      <c r="D43" s="2" t="str">
        <f>IFERROR(__xludf.DUMMYFUNCTION("IF(B43&lt;&gt;"""",GOOGLETRANSLATE(B43,""zh"",""en""),"""")"),"Solar")</f>
        <v>Solar</v>
      </c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ht="15.75" customHeight="1">
      <c r="A44" s="2"/>
      <c r="B44" s="2" t="s">
        <v>44</v>
      </c>
      <c r="C44" s="2" t="str">
        <f>IFERROR(__xludf.DUMMYFUNCTION("IF(B44&lt;&gt;"""",GOOGLETRANSLATE(B44,""zh"",""zh-TW""),"""")"),"文明")</f>
        <v>文明</v>
      </c>
      <c r="D44" s="2" t="str">
        <f>IFERROR(__xludf.DUMMYFUNCTION("IF(B44&lt;&gt;"""",GOOGLETRANSLATE(B44,""zh"",""en""),"""")"),"civilization")</f>
        <v>civilization</v>
      </c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ht="15.75" customHeight="1">
      <c r="A45" s="2"/>
      <c r="B45" s="2" t="s">
        <v>45</v>
      </c>
      <c r="C45" s="2" t="str">
        <f>IFERROR(__xludf.DUMMYFUNCTION("IF(B45&lt;&gt;"""",GOOGLETRANSLATE(B45,""zh"",""zh-TW""),"""")"),"先進")</f>
        <v>先進</v>
      </c>
      <c r="D45" s="2" t="str">
        <f>IFERROR(__xludf.DUMMYFUNCTION("IF(B45&lt;&gt;"""",GOOGLETRANSLATE(B45,""zh"",""en""),"""")"),"advanced")</f>
        <v>advanced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ht="15.75" customHeight="1">
      <c r="A46" s="2"/>
      <c r="B46" s="2" t="s">
        <v>46</v>
      </c>
      <c r="C46" s="2" t="str">
        <f>IFERROR(__xludf.DUMMYFUNCTION("IF(B46&lt;&gt;"""",GOOGLETRANSLATE(B46,""zh"",""zh-TW""),"""")"),"短消息")</f>
        <v>短消息</v>
      </c>
      <c r="D46" s="2" t="str">
        <f>IFERROR(__xludf.DUMMYFUNCTION("IF(B46&lt;&gt;"""",GOOGLETRANSLATE(B46,""zh"",""en""),"""")"),"short message")</f>
        <v>short message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ht="15.75" customHeight="1">
      <c r="A47" s="2"/>
      <c r="B47" s="2" t="s">
        <v>47</v>
      </c>
      <c r="C47" s="2" t="str">
        <f>IFERROR(__xludf.DUMMYFUNCTION("IF(B47&lt;&gt;"""",GOOGLETRANSLATE(B47,""zh"",""zh-TW""),"""")"),"資料")</f>
        <v>資料</v>
      </c>
      <c r="D47" s="2" t="str">
        <f>IFERROR(__xludf.DUMMYFUNCTION("IF(B47&lt;&gt;"""",GOOGLETRANSLATE(B47,""zh"",""en""),"""")"),"material")</f>
        <v>material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ht="15.75" customHeight="1">
      <c r="A48" s="2"/>
      <c r="B48" s="2" t="s">
        <v>48</v>
      </c>
      <c r="C48" s="2" t="str">
        <f>IFERROR(__xludf.DUMMYFUNCTION("IF(B48&lt;&gt;"""",GOOGLETRANSLATE(B48,""zh"",""zh-TW""),"""")"),"自行車")</f>
        <v>自行車</v>
      </c>
      <c r="D48" s="2" t="str">
        <f>IFERROR(__xludf.DUMMYFUNCTION("IF(B48&lt;&gt;"""",GOOGLETRANSLATE(B48,""zh"",""en""),"""")"),"bike")</f>
        <v>bike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ht="15.75" customHeight="1">
      <c r="A49" s="2"/>
      <c r="B49" s="2" t="s">
        <v>49</v>
      </c>
      <c r="C49" s="2" t="str">
        <f>IFERROR(__xludf.DUMMYFUNCTION("IF(B49&lt;&gt;"""",GOOGLETRANSLATE(B49,""zh"",""zh-TW""),"""")"),"自助服務")</f>
        <v>自助服務</v>
      </c>
      <c r="D49" s="2" t="str">
        <f>IFERROR(__xludf.DUMMYFUNCTION("IF(B49&lt;&gt;"""",GOOGLETRANSLATE(B49,""zh"",""en""),"""")"),"self service")</f>
        <v>self service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ht="15.75" customHeight="1">
      <c r="A50" s="2"/>
      <c r="B50" s="2" t="s">
        <v>50</v>
      </c>
      <c r="C50" s="2" t="str">
        <f>IFERROR(__xludf.DUMMYFUNCTION("IF(B50&lt;&gt;"""",GOOGLETRANSLATE(B50,""zh"",""zh-TW""),"""")"),"語音信箱")</f>
        <v>語音信箱</v>
      </c>
      <c r="D50" s="2" t="str">
        <f>IFERROR(__xludf.DUMMYFUNCTION("IF(B50&lt;&gt;"""",GOOGLETRANSLATE(B50,""zh"",""en""),"""")"),"Voicemail")</f>
        <v>Voicemail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ht="15.75" customHeight="1">
      <c r="A51" s="2"/>
      <c r="B51" s="2" t="s">
        <v>51</v>
      </c>
      <c r="C51" s="2" t="str">
        <f>IFERROR(__xludf.DUMMYFUNCTION("IF(B51&lt;&gt;"""",GOOGLETRANSLATE(B51,""zh"",""zh-TW""),"""")"),"查詢")</f>
        <v>查詢</v>
      </c>
      <c r="D51" s="2" t="str">
        <f>IFERROR(__xludf.DUMMYFUNCTION("IF(B51&lt;&gt;"""",GOOGLETRANSLATE(B51,""zh"",""en""),"""")"),"Inquire")</f>
        <v>Inquire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ht="15.75" customHeight="1">
      <c r="A52" s="2"/>
      <c r="B52" s="2" t="s">
        <v>52</v>
      </c>
      <c r="C52" s="2" t="str">
        <f>IFERROR(__xludf.DUMMYFUNCTION("IF(B52&lt;&gt;"""",GOOGLETRANSLATE(B52,""zh"",""zh-TW""),"""")"),"用戶")</f>
        <v>用戶</v>
      </c>
      <c r="D52" s="2" t="str">
        <f>IFERROR(__xludf.DUMMYFUNCTION("IF(B52&lt;&gt;"""",GOOGLETRANSLATE(B52,""zh"",""en""),"""")"),"user")</f>
        <v>user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ht="15.75" customHeight="1">
      <c r="A53" s="2"/>
      <c r="B53" s="2" t="s">
        <v>53</v>
      </c>
      <c r="C53" s="2" t="str">
        <f>IFERROR(__xludf.DUMMYFUNCTION("IF(B53&lt;&gt;"""",GOOGLETRANSLATE(B53,""zh"",""zh-TW""),"""")"),"密碼")</f>
        <v>密碼</v>
      </c>
      <c r="D53" s="2" t="str">
        <f>IFERROR(__xludf.DUMMYFUNCTION("IF(B53&lt;&gt;"""",GOOGLETRANSLATE(B53,""zh"",""en""),"""")"),"password")</f>
        <v>password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ht="15.75" customHeight="1">
      <c r="A54" s="2"/>
      <c r="B54" s="2" t="s">
        <v>54</v>
      </c>
      <c r="C54" s="2" t="str">
        <f>IFERROR(__xludf.DUMMYFUNCTION("IF(B54&lt;&gt;"""",GOOGLETRANSLATE(B54,""zh"",""zh-TW""),"""")"),"低頭族")</f>
        <v>低頭族</v>
      </c>
      <c r="D54" s="2" t="str">
        <f>IFERROR(__xludf.DUMMYFUNCTION("IF(B54&lt;&gt;"""",GOOGLETRANSLATE(B54,""zh"",""en""),"""")"),"Head")</f>
        <v>Head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ht="15.75" customHeight="1">
      <c r="A55" s="2"/>
      <c r="B55" s="2" t="s">
        <v>55</v>
      </c>
      <c r="C55" s="2" t="str">
        <f>IFERROR(__xludf.DUMMYFUNCTION("IF(B55&lt;&gt;"""",GOOGLETRANSLATE(B55,""zh"",""zh-TW""),"""")"),"智慧型手機")</f>
        <v>智慧型手機</v>
      </c>
      <c r="D55" s="2" t="str">
        <f>IFERROR(__xludf.DUMMYFUNCTION("IF(B55&lt;&gt;"""",GOOGLETRANSLATE(B55,""zh"",""en""),"""")"),"cell phone")</f>
        <v>cell phone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ht="15.75" customHeight="1">
      <c r="A56" s="2"/>
      <c r="B56" s="2" t="s">
        <v>56</v>
      </c>
      <c r="C56" s="2" t="str">
        <f>IFERROR(__xludf.DUMMYFUNCTION("IF(B56&lt;&gt;"""",GOOGLETRANSLATE(B56,""zh"",""zh-TW""),"""")"),"訊號")</f>
        <v>訊號</v>
      </c>
      <c r="D56" s="2" t="str">
        <f>IFERROR(__xludf.DUMMYFUNCTION("IF(B56&lt;&gt;"""",GOOGLETRANSLATE(B56,""zh"",""en""),"""")"),"Signal")</f>
        <v>Signal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ht="15.75" customHeight="1">
      <c r="A57" s="2"/>
      <c r="B57" s="4" t="s">
        <v>57</v>
      </c>
      <c r="C57" s="2" t="str">
        <f>IFERROR(__xludf.DUMMYFUNCTION("IF(B57&lt;&gt;"""",GOOGLETRANSLATE(B57,""zh"",""zh-TW""),"""")"),"人工智慧")</f>
        <v>人工智慧</v>
      </c>
      <c r="D57" s="2" t="str">
        <f>IFERROR(__xludf.DUMMYFUNCTION("IF(B57&lt;&gt;"""",GOOGLETRANSLATE(B57,""zh"",""en""),"""")"),"AI")</f>
        <v>AI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drawing r:id="rId1"/>
</worksheet>
</file>