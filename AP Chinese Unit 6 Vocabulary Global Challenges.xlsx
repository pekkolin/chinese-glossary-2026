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9+gz5kmmfIlMf2Od2vR8FEiIqLxAhON3w3JvnsmLQE="/>
    </ext>
  </extLst>
</workbook>
</file>

<file path=xl/sharedStrings.xml><?xml version="1.0" encoding="utf-8"?>
<sst xmlns="http://schemas.openxmlformats.org/spreadsheetml/2006/main" count="131" uniqueCount="129">
  <si>
    <t xml:space="preserve">Global challenges can be used as a review/reflection theme, as it could cover any topics in the previous themes.  </t>
  </si>
  <si>
    <t>拼音</t>
  </si>
  <si>
    <t>中文简体</t>
  </si>
  <si>
    <t>中文繁体</t>
  </si>
  <si>
    <t>英文</t>
  </si>
  <si>
    <t>保护</t>
  </si>
  <si>
    <t>保留</t>
  </si>
  <si>
    <t>毕业</t>
  </si>
  <si>
    <t>变化</t>
  </si>
  <si>
    <t>不堪设想</t>
  </si>
  <si>
    <t>儿童</t>
  </si>
  <si>
    <t>贷款</t>
  </si>
  <si>
    <t>单位</t>
  </si>
  <si>
    <t>倒垃圾</t>
  </si>
  <si>
    <t>抵押</t>
  </si>
  <si>
    <t>地球</t>
  </si>
  <si>
    <t>交朋友</t>
  </si>
  <si>
    <t>结婚</t>
  </si>
  <si>
    <t>生子</t>
  </si>
  <si>
    <t>留学</t>
  </si>
  <si>
    <t>社会</t>
  </si>
  <si>
    <t>设计</t>
  </si>
  <si>
    <t>世界</t>
  </si>
  <si>
    <t>税</t>
  </si>
  <si>
    <t>压力</t>
  </si>
  <si>
    <t>移民</t>
  </si>
  <si>
    <t>英语</t>
  </si>
  <si>
    <t>看法</t>
  </si>
  <si>
    <t>想法</t>
  </si>
  <si>
    <t>人口</t>
  </si>
  <si>
    <t>人山人海</t>
  </si>
  <si>
    <t>新生</t>
  </si>
  <si>
    <t>重男轻女</t>
  </si>
  <si>
    <t>油</t>
  </si>
  <si>
    <t>自由</t>
  </si>
  <si>
    <t>自然</t>
  </si>
  <si>
    <t>发达</t>
  </si>
  <si>
    <t>发展中</t>
  </si>
  <si>
    <t>反对</t>
  </si>
  <si>
    <t>辆</t>
  </si>
  <si>
    <t>质量</t>
  </si>
  <si>
    <t>风险</t>
  </si>
  <si>
    <t>妇女</t>
  </si>
  <si>
    <t>负担</t>
  </si>
  <si>
    <t>改革开放</t>
  </si>
  <si>
    <t>盖(房子)</t>
  </si>
  <si>
    <t>革命</t>
  </si>
  <si>
    <t>股票</t>
  </si>
  <si>
    <t>故事</t>
  </si>
  <si>
    <t>合同</t>
  </si>
  <si>
    <t>化学</t>
  </si>
  <si>
    <t>环境</t>
  </si>
  <si>
    <t>回收</t>
  </si>
  <si>
    <t>交通</t>
  </si>
  <si>
    <t>拥挤</t>
  </si>
  <si>
    <t>堵塞</t>
  </si>
  <si>
    <t>交流</t>
  </si>
  <si>
    <t>节约</t>
  </si>
  <si>
    <t>解决</t>
  </si>
  <si>
    <t>决定</t>
  </si>
  <si>
    <t>进入</t>
  </si>
  <si>
    <t>进行</t>
  </si>
  <si>
    <t>经济</t>
  </si>
  <si>
    <t>空调</t>
  </si>
  <si>
    <t>空气</t>
  </si>
  <si>
    <t>利用</t>
  </si>
  <si>
    <t>利息</t>
  </si>
  <si>
    <t>贸易</t>
  </si>
  <si>
    <t>暖气</t>
  </si>
  <si>
    <t>女性</t>
  </si>
  <si>
    <t>贫穷</t>
  </si>
  <si>
    <t>平等</t>
  </si>
  <si>
    <t>公平</t>
  </si>
  <si>
    <t>瓶装水</t>
  </si>
  <si>
    <t>企业</t>
  </si>
  <si>
    <t>签</t>
  </si>
  <si>
    <t>取得</t>
  </si>
  <si>
    <t>取之不得</t>
  </si>
  <si>
    <t>剩余</t>
  </si>
  <si>
    <t>剩下（来）</t>
  </si>
  <si>
    <t>时代</t>
  </si>
  <si>
    <t>石油</t>
  </si>
  <si>
    <t>市场</t>
  </si>
  <si>
    <t xml:space="preserve">世纪 </t>
  </si>
  <si>
    <t>收入</t>
  </si>
  <si>
    <t>薪水</t>
  </si>
  <si>
    <t>数字</t>
  </si>
  <si>
    <t>同工同酬</t>
  </si>
  <si>
    <t>竞争</t>
  </si>
  <si>
    <t>条件</t>
  </si>
  <si>
    <t>同事</t>
  </si>
  <si>
    <t>统一</t>
  </si>
  <si>
    <t>投资</t>
  </si>
  <si>
    <t>危机</t>
  </si>
  <si>
    <t>污染</t>
  </si>
  <si>
    <t>稳定</t>
  </si>
  <si>
    <t>吸烟</t>
  </si>
  <si>
    <t>现象</t>
  </si>
  <si>
    <t>享受</t>
  </si>
  <si>
    <t>受到</t>
  </si>
  <si>
    <t>消费</t>
  </si>
  <si>
    <t>新闻</t>
  </si>
  <si>
    <t>严肃</t>
  </si>
  <si>
    <t>严重</t>
  </si>
  <si>
    <t>严禁...</t>
  </si>
  <si>
    <t>一次性</t>
  </si>
  <si>
    <t>意见/主意</t>
  </si>
  <si>
    <t>同意</t>
  </si>
  <si>
    <t>赞成</t>
  </si>
  <si>
    <t>增加</t>
  </si>
  <si>
    <t>减少</t>
  </si>
  <si>
    <t>政府</t>
  </si>
  <si>
    <t>逐渐</t>
  </si>
  <si>
    <t>主要</t>
  </si>
  <si>
    <t>注意</t>
  </si>
  <si>
    <t>赚钱</t>
  </si>
  <si>
    <t>存钱</t>
  </si>
  <si>
    <t>提供</t>
  </si>
  <si>
    <t>城市化</t>
  </si>
  <si>
    <t>人口密集</t>
  </si>
  <si>
    <t>集中</t>
  </si>
  <si>
    <t>新兴，新型</t>
  </si>
  <si>
    <t>老旧</t>
  </si>
  <si>
    <t>恐怕</t>
  </si>
  <si>
    <t>接近</t>
  </si>
  <si>
    <t>跌</t>
  </si>
  <si>
    <t>摔</t>
  </si>
  <si>
    <t>退休</t>
  </si>
  <si>
    <t>老龄化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</si>
</sst>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6.63"/>
    <col customWidth="1" min="5" max="7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2"/>
      <c r="B3" s="2" t="s">
        <v>5</v>
      </c>
      <c r="C3" s="2" t="str">
        <f>IFERROR(__xludf.DUMMYFUNCTION("IF(B3&lt;&gt;"""",GOOGLETRANSLATE(B3,""zh"",""zh-TW""),"""")"),"保護")</f>
        <v>保護</v>
      </c>
      <c r="D3" s="4" t="str">
        <f>IFERROR(__xludf.DUMMYFUNCTION("IF(B3&lt;&gt;"""",GOOGLETRANSLATE(B3,""zh"",""en""),"""")"),"Protect")</f>
        <v>Protect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2"/>
      <c r="B4" s="2" t="s">
        <v>6</v>
      </c>
      <c r="C4" s="2" t="str">
        <f>IFERROR(__xludf.DUMMYFUNCTION("IF(B4&lt;&gt;"""",GOOGLETRANSLATE(B4,""zh"",""zh-TW""),"""")"),"保留")</f>
        <v>保留</v>
      </c>
      <c r="D4" s="4" t="str">
        <f>IFERROR(__xludf.DUMMYFUNCTION("IF(B4&lt;&gt;"""",GOOGLETRANSLATE(B4,""zh"",""en""),"""")"),"reserve")</f>
        <v>reserve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2"/>
      <c r="B5" s="2" t="s">
        <v>7</v>
      </c>
      <c r="C5" s="2" t="str">
        <f>IFERROR(__xludf.DUMMYFUNCTION("IF(B5&lt;&gt;"""",GOOGLETRANSLATE(B5,""zh"",""zh-TW""),"""")"),"畢業")</f>
        <v>畢業</v>
      </c>
      <c r="D5" s="4" t="str">
        <f>IFERROR(__xludf.DUMMYFUNCTION("IF(B5&lt;&gt;"""",GOOGLETRANSLATE(B5,""zh"",""en""),"""")"),"graduate")</f>
        <v>graduate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2"/>
      <c r="B6" s="2" t="s">
        <v>8</v>
      </c>
      <c r="C6" s="2" t="str">
        <f>IFERROR(__xludf.DUMMYFUNCTION("IF(B6&lt;&gt;"""",GOOGLETRANSLATE(B6,""zh"",""zh-TW""),"""")"),"變化")</f>
        <v>變化</v>
      </c>
      <c r="D6" s="4" t="str">
        <f>IFERROR(__xludf.DUMMYFUNCTION("IF(B6&lt;&gt;"""",GOOGLETRANSLATE(B6,""zh"",""en""),"""")"),"Variety")</f>
        <v>Variety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2"/>
      <c r="B7" s="2" t="s">
        <v>9</v>
      </c>
      <c r="C7" s="2" t="str">
        <f>IFERROR(__xludf.DUMMYFUNCTION("IF(B7&lt;&gt;"""",GOOGLETRANSLATE(B7,""zh"",""zh-TW""),"""")"),"不堪設想")</f>
        <v>不堪設想</v>
      </c>
      <c r="D7" s="4" t="str">
        <f>IFERROR(__xludf.DUMMYFUNCTION("IF(B7&lt;&gt;"""",GOOGLETRANSLATE(B7,""zh"",""en""),"""")"),"Unimplexed")</f>
        <v>Unimplexed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2"/>
      <c r="B8" s="2" t="s">
        <v>10</v>
      </c>
      <c r="C8" s="2" t="str">
        <f>IFERROR(__xludf.DUMMYFUNCTION("IF(B8&lt;&gt;"""",GOOGLETRANSLATE(B8,""zh"",""zh-TW""),"""")"),"兒童")</f>
        <v>兒童</v>
      </c>
      <c r="D8" s="4" t="str">
        <f>IFERROR(__xludf.DUMMYFUNCTION("IF(B8&lt;&gt;"""",GOOGLETRANSLATE(B8,""zh"",""en""),"""")"),"child")</f>
        <v>child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2"/>
      <c r="B9" s="2" t="s">
        <v>11</v>
      </c>
      <c r="C9" s="2" t="str">
        <f>IFERROR(__xludf.DUMMYFUNCTION("IF(B9&lt;&gt;"""",GOOGLETRANSLATE(B9,""zh"",""zh-TW""),"""")"),"貸款")</f>
        <v>貸款</v>
      </c>
      <c r="D9" s="4" t="str">
        <f>IFERROR(__xludf.DUMMYFUNCTION("IF(B9&lt;&gt;"""",GOOGLETRANSLATE(B9,""zh"",""en""),"""")"),"loan")</f>
        <v>loan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2"/>
      <c r="B10" s="2" t="s">
        <v>12</v>
      </c>
      <c r="C10" s="2" t="str">
        <f>IFERROR(__xludf.DUMMYFUNCTION("IF(B10&lt;&gt;"""",GOOGLETRANSLATE(B10,""zh"",""zh-TW""),"""")"),"單位")</f>
        <v>單位</v>
      </c>
      <c r="D10" s="4" t="str">
        <f>IFERROR(__xludf.DUMMYFUNCTION("IF(B10&lt;&gt;"""",GOOGLETRANSLATE(B10,""zh"",""en""),"""")"),"unit")</f>
        <v>unit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2"/>
      <c r="B11" s="2" t="s">
        <v>13</v>
      </c>
      <c r="C11" s="2" t="str">
        <f>IFERROR(__xludf.DUMMYFUNCTION("IF(B11&lt;&gt;"""",GOOGLETRANSLATE(B11,""zh"",""zh-TW""),"""")"),"倒垃圾")</f>
        <v>倒垃圾</v>
      </c>
      <c r="D11" s="4" t="str">
        <f>IFERROR(__xludf.DUMMYFUNCTION("IF(B11&lt;&gt;"""",GOOGLETRANSLATE(B11,""zh"",""en""),"""")"),"Dump")</f>
        <v>Dump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2"/>
      <c r="B12" s="2" t="s">
        <v>14</v>
      </c>
      <c r="C12" s="2" t="str">
        <f>IFERROR(__xludf.DUMMYFUNCTION("IF(B12&lt;&gt;"""",GOOGLETRANSLATE(B12,""zh"",""zh-TW""),"""")"),"抵押")</f>
        <v>抵押</v>
      </c>
      <c r="D12" s="4" t="str">
        <f>IFERROR(__xludf.DUMMYFUNCTION("IF(B12&lt;&gt;"""",GOOGLETRANSLATE(B12,""zh"",""en""),"""")"),"mortgage")</f>
        <v>mortgage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2"/>
      <c r="B13" s="2" t="s">
        <v>15</v>
      </c>
      <c r="C13" s="2" t="str">
        <f>IFERROR(__xludf.DUMMYFUNCTION("IF(B13&lt;&gt;"""",GOOGLETRANSLATE(B13,""zh"",""zh-TW""),"""")"),"地球")</f>
        <v>地球</v>
      </c>
      <c r="D13" s="4" t="str">
        <f>IFERROR(__xludf.DUMMYFUNCTION("IF(B13&lt;&gt;"""",GOOGLETRANSLATE(B13,""zh"",""en""),"""")"),"Earth")</f>
        <v>Earth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2"/>
      <c r="B14" s="2" t="s">
        <v>16</v>
      </c>
      <c r="C14" s="2" t="str">
        <f>IFERROR(__xludf.DUMMYFUNCTION("IF(B14&lt;&gt;"""",GOOGLETRANSLATE(B14,""zh"",""zh-TW""),"""")"),"交朋友")</f>
        <v>交朋友</v>
      </c>
      <c r="D14" s="4" t="str">
        <f>IFERROR(__xludf.DUMMYFUNCTION("IF(B14&lt;&gt;"""",GOOGLETRANSLATE(B14,""zh"",""en""),"""")"),"make friends")</f>
        <v>make friends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2"/>
      <c r="B15" s="2" t="s">
        <v>17</v>
      </c>
      <c r="C15" s="2" t="str">
        <f>IFERROR(__xludf.DUMMYFUNCTION("IF(B15&lt;&gt;"""",GOOGLETRANSLATE(B15,""zh"",""zh-TW""),"""")"),"結婚")</f>
        <v>結婚</v>
      </c>
      <c r="D15" s="4" t="str">
        <f>IFERROR(__xludf.DUMMYFUNCTION("IF(B15&lt;&gt;"""",GOOGLETRANSLATE(B15,""zh"",""en""),"""")"),"marry")</f>
        <v>marry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2"/>
      <c r="B16" s="2" t="s">
        <v>18</v>
      </c>
      <c r="C16" s="2" t="str">
        <f>IFERROR(__xludf.DUMMYFUNCTION("IF(B16&lt;&gt;"""",GOOGLETRANSLATE(B16,""zh"",""zh-TW""),"""")"),"生子")</f>
        <v>生子</v>
      </c>
      <c r="D16" s="4" t="str">
        <f>IFERROR(__xludf.DUMMYFUNCTION("IF(B16&lt;&gt;"""",GOOGLETRANSLATE(B16,""zh"",""en""),"""")"),"Have children")</f>
        <v>Have children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2"/>
      <c r="B17" s="2" t="s">
        <v>19</v>
      </c>
      <c r="C17" s="2" t="str">
        <f>IFERROR(__xludf.DUMMYFUNCTION("IF(B17&lt;&gt;"""",GOOGLETRANSLATE(B17,""zh"",""zh-TW""),"""")"),"留學")</f>
        <v>留學</v>
      </c>
      <c r="D17" s="4" t="str">
        <f>IFERROR(__xludf.DUMMYFUNCTION("IF(B17&lt;&gt;"""",GOOGLETRANSLATE(B17,""zh"",""en""),"""")"),"Study abroad")</f>
        <v>Study abroad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2"/>
      <c r="B18" s="2" t="s">
        <v>20</v>
      </c>
      <c r="C18" s="2" t="str">
        <f>IFERROR(__xludf.DUMMYFUNCTION("IF(B18&lt;&gt;"""",GOOGLETRANSLATE(B18,""zh"",""zh-TW""),"""")"),"社會")</f>
        <v>社會</v>
      </c>
      <c r="D18" s="4" t="str">
        <f>IFERROR(__xludf.DUMMYFUNCTION("IF(B18&lt;&gt;"""",GOOGLETRANSLATE(B18,""zh"",""en""),"""")"),"society")</f>
        <v>society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"/>
      <c r="B19" s="2" t="s">
        <v>21</v>
      </c>
      <c r="C19" s="2" t="str">
        <f>IFERROR(__xludf.DUMMYFUNCTION("IF(B19&lt;&gt;"""",GOOGLETRANSLATE(B19,""zh"",""zh-TW""),"""")"),"設計")</f>
        <v>設計</v>
      </c>
      <c r="D19" s="4" t="str">
        <f>IFERROR(__xludf.DUMMYFUNCTION("IF(B19&lt;&gt;"""",GOOGLETRANSLATE(B19,""zh"",""en""),"""")"),"design")</f>
        <v>design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2"/>
      <c r="B20" s="2" t="s">
        <v>22</v>
      </c>
      <c r="C20" s="2" t="str">
        <f>IFERROR(__xludf.DUMMYFUNCTION("IF(B20&lt;&gt;"""",GOOGLETRANSLATE(B20,""zh"",""zh-TW""),"""")"),"世界")</f>
        <v>世界</v>
      </c>
      <c r="D20" s="4" t="str">
        <f>IFERROR(__xludf.DUMMYFUNCTION("IF(B20&lt;&gt;"""",GOOGLETRANSLATE(B20,""zh"",""en""),"""")"),"world")</f>
        <v>world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" t="s">
        <v>23</v>
      </c>
      <c r="C21" s="2" t="str">
        <f>IFERROR(__xludf.DUMMYFUNCTION("IF(B21&lt;&gt;"""",GOOGLETRANSLATE(B21,""zh"",""zh-TW""),"""")"),"稅")</f>
        <v>稅</v>
      </c>
      <c r="D21" s="4" t="str">
        <f>IFERROR(__xludf.DUMMYFUNCTION("IF(B21&lt;&gt;"""",GOOGLETRANSLATE(B21,""zh"",""en""),"""")"),"Tax")</f>
        <v>Tax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" t="s">
        <v>24</v>
      </c>
      <c r="C22" s="2" t="str">
        <f>IFERROR(__xludf.DUMMYFUNCTION("IF(B22&lt;&gt;"""",GOOGLETRANSLATE(B22,""zh"",""zh-TW""),"""")"),"壓力")</f>
        <v>壓力</v>
      </c>
      <c r="D22" s="4" t="str">
        <f>IFERROR(__xludf.DUMMYFUNCTION("IF(B22&lt;&gt;"""",GOOGLETRANSLATE(B22,""zh"",""en""),"""")"),"pressure")</f>
        <v>pressure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2" t="s">
        <v>25</v>
      </c>
      <c r="C23" s="2" t="str">
        <f>IFERROR(__xludf.DUMMYFUNCTION("IF(B23&lt;&gt;"""",GOOGLETRANSLATE(B23,""zh"",""zh-TW""),"""")"),"移民")</f>
        <v>移民</v>
      </c>
      <c r="D23" s="4" t="str">
        <f>IFERROR(__xludf.DUMMYFUNCTION("IF(B23&lt;&gt;"""",GOOGLETRANSLATE(B23,""zh"",""en""),"""")"),"migrant")</f>
        <v>migrant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2" t="s">
        <v>26</v>
      </c>
      <c r="C24" s="2" t="str">
        <f>IFERROR(__xludf.DUMMYFUNCTION("IF(B24&lt;&gt;"""",GOOGLETRANSLATE(B24,""zh"",""zh-TW""),"""")"),"英語")</f>
        <v>英語</v>
      </c>
      <c r="D24" s="4" t="str">
        <f>IFERROR(__xludf.DUMMYFUNCTION("IF(B24&lt;&gt;"""",GOOGLETRANSLATE(B24,""zh"",""en""),"""")"),"English")</f>
        <v>English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2" t="s">
        <v>27</v>
      </c>
      <c r="C25" s="2" t="str">
        <f>IFERROR(__xludf.DUMMYFUNCTION("IF(B25&lt;&gt;"""",GOOGLETRANSLATE(B25,""zh"",""zh-TW""),"""")"),"看法")</f>
        <v>看法</v>
      </c>
      <c r="D25" s="4" t="str">
        <f>IFERROR(__xludf.DUMMYFUNCTION("IF(B25&lt;&gt;"""",GOOGLETRANSLATE(B25,""zh"",""en""),"""")"),"view")</f>
        <v>view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2" t="s">
        <v>28</v>
      </c>
      <c r="C26" s="2" t="str">
        <f>IFERROR(__xludf.DUMMYFUNCTION("IF(B26&lt;&gt;"""",GOOGLETRANSLATE(B26,""zh"",""zh-TW""),"""")"),"想法")</f>
        <v>想法</v>
      </c>
      <c r="D26" s="4" t="str">
        <f>IFERROR(__xludf.DUMMYFUNCTION("IF(B26&lt;&gt;"""",GOOGLETRANSLATE(B26,""zh"",""en""),"""")"),"idea")</f>
        <v>idea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2" t="s">
        <v>29</v>
      </c>
      <c r="C27" s="2" t="str">
        <f>IFERROR(__xludf.DUMMYFUNCTION("IF(B27&lt;&gt;"""",GOOGLETRANSLATE(B27,""zh"",""zh-TW""),"""")"),"人口")</f>
        <v>人口</v>
      </c>
      <c r="D27" s="4" t="str">
        <f>IFERROR(__xludf.DUMMYFUNCTION("IF(B27&lt;&gt;"""",GOOGLETRANSLATE(B27,""zh"",""en""),"""")"),"population")</f>
        <v>population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2" t="s">
        <v>30</v>
      </c>
      <c r="C28" s="2" t="str">
        <f>IFERROR(__xludf.DUMMYFUNCTION("IF(B28&lt;&gt;"""",GOOGLETRANSLATE(B28,""zh"",""zh-TW""),"""")"),"人山人海")</f>
        <v>人山人海</v>
      </c>
      <c r="D28" s="4" t="str">
        <f>IFERROR(__xludf.DUMMYFUNCTION("IF(B28&lt;&gt;"""",GOOGLETRANSLATE(B28,""zh"",""en""),"""")"),"Crowded")</f>
        <v>Crowded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 t="s">
        <v>31</v>
      </c>
      <c r="C29" s="2" t="str">
        <f>IFERROR(__xludf.DUMMYFUNCTION("IF(B29&lt;&gt;"""",GOOGLETRANSLATE(B29,""zh"",""zh-TW""),"""")"),"新生")</f>
        <v>新生</v>
      </c>
      <c r="D29" s="4" t="str">
        <f>IFERROR(__xludf.DUMMYFUNCTION("IF(B29&lt;&gt;"""",GOOGLETRANSLATE(B29,""zh"",""en""),"""")"),"newborn")</f>
        <v>newborn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 t="s">
        <v>32</v>
      </c>
      <c r="C30" s="2" t="str">
        <f>IFERROR(__xludf.DUMMYFUNCTION("IF(B30&lt;&gt;"""",GOOGLETRANSLATE(B30,""zh"",""zh-TW""),"""")"),"重男輕女")</f>
        <v>重男輕女</v>
      </c>
      <c r="D30" s="4" t="str">
        <f>IFERROR(__xludf.DUMMYFUNCTION("IF(B30&lt;&gt;"""",GOOGLETRANSLATE(B30,""zh"",""en""),"""")"),"Pilotype")</f>
        <v>Pilotype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 t="s">
        <v>25</v>
      </c>
      <c r="C31" s="2" t="str">
        <f>IFERROR(__xludf.DUMMYFUNCTION("IF(B31&lt;&gt;"""",GOOGLETRANSLATE(B31,""zh"",""zh-TW""),"""")"),"移民")</f>
        <v>移民</v>
      </c>
      <c r="D31" s="4" t="str">
        <f>IFERROR(__xludf.DUMMYFUNCTION("IF(B31&lt;&gt;"""",GOOGLETRANSLATE(B31,""zh"",""en""),"""")"),"migrant")</f>
        <v>migrant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 t="s">
        <v>33</v>
      </c>
      <c r="C32" s="2" t="str">
        <f>IFERROR(__xludf.DUMMYFUNCTION("IF(B32&lt;&gt;"""",GOOGLETRANSLATE(B32,""zh"",""zh-TW""),"""")"),"油")</f>
        <v>油</v>
      </c>
      <c r="D32" s="4" t="str">
        <f>IFERROR(__xludf.DUMMYFUNCTION("IF(B32&lt;&gt;"""",GOOGLETRANSLATE(B32,""zh"",""en""),"""")"),"Oil")</f>
        <v>Oil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 t="s">
        <v>34</v>
      </c>
      <c r="C33" s="2" t="str">
        <f>IFERROR(__xludf.DUMMYFUNCTION("IF(B33&lt;&gt;"""",GOOGLETRANSLATE(B33,""zh"",""zh-TW""),"""")"),"自由")</f>
        <v>自由</v>
      </c>
      <c r="D33" s="4" t="str">
        <f>IFERROR(__xludf.DUMMYFUNCTION("IF(B33&lt;&gt;"""",GOOGLETRANSLATE(B33,""zh"",""en""),"""")"),"free")</f>
        <v>free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 t="s">
        <v>35</v>
      </c>
      <c r="C34" s="2" t="str">
        <f>IFERROR(__xludf.DUMMYFUNCTION("IF(B34&lt;&gt;"""",GOOGLETRANSLATE(B34,""zh"",""zh-TW""),"""")"),"自然")</f>
        <v>自然</v>
      </c>
      <c r="D34" s="4" t="str">
        <f>IFERROR(__xludf.DUMMYFUNCTION("IF(B34&lt;&gt;"""",GOOGLETRANSLATE(B34,""zh"",""en""),"""")"),"nature")</f>
        <v>nature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 t="s">
        <v>36</v>
      </c>
      <c r="C35" s="2" t="str">
        <f>IFERROR(__xludf.DUMMYFUNCTION("IF(B35&lt;&gt;"""",GOOGLETRANSLATE(B35,""zh"",""zh-TW""),"""")"),"發達")</f>
        <v>發達</v>
      </c>
      <c r="D35" s="4" t="str">
        <f>IFERROR(__xludf.DUMMYFUNCTION("IF(B35&lt;&gt;"""",GOOGLETRANSLATE(B35,""zh"",""en""),"""")"),"developed")</f>
        <v>developed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 t="s">
        <v>37</v>
      </c>
      <c r="C36" s="2" t="str">
        <f>IFERROR(__xludf.DUMMYFUNCTION("IF(B36&lt;&gt;"""",GOOGLETRANSLATE(B36,""zh"",""zh-TW""),"""")"),"發展中")</f>
        <v>發展中</v>
      </c>
      <c r="D36" s="4" t="str">
        <f>IFERROR(__xludf.DUMMYFUNCTION("IF(B36&lt;&gt;"""",GOOGLETRANSLATE(B36,""zh"",""en""),"""")"),"developing")</f>
        <v>developing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 t="s">
        <v>38</v>
      </c>
      <c r="C37" s="2" t="str">
        <f>IFERROR(__xludf.DUMMYFUNCTION("IF(B37&lt;&gt;"""",GOOGLETRANSLATE(B37,""zh"",""zh-TW""),"""")"),"反對")</f>
        <v>反對</v>
      </c>
      <c r="D37" s="4" t="str">
        <f>IFERROR(__xludf.DUMMYFUNCTION("IF(B37&lt;&gt;"""",GOOGLETRANSLATE(B37,""zh"",""en""),"""")"),"be opposed to")</f>
        <v>be opposed to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 t="s">
        <v>39</v>
      </c>
      <c r="C38" s="2" t="str">
        <f>IFERROR(__xludf.DUMMYFUNCTION("IF(B38&lt;&gt;"""",GOOGLETRANSLATE(B38,""zh"",""zh-TW""),"""")"),"輛")</f>
        <v>輛</v>
      </c>
      <c r="D38" s="4" t="str">
        <f>IFERROR(__xludf.DUMMYFUNCTION("IF(B38&lt;&gt;"""",GOOGLETRANSLATE(B38,""zh"",""en""),"""")"),"Vehicle")</f>
        <v>Vehicle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 t="s">
        <v>40</v>
      </c>
      <c r="C39" s="2" t="str">
        <f>IFERROR(__xludf.DUMMYFUNCTION("IF(B39&lt;&gt;"""",GOOGLETRANSLATE(B39,""zh"",""zh-TW""),"""")"),"品質")</f>
        <v>品質</v>
      </c>
      <c r="D39" s="4" t="str">
        <f>IFERROR(__xludf.DUMMYFUNCTION("IF(B39&lt;&gt;"""",GOOGLETRANSLATE(B39,""zh"",""en""),"""")"),"quality")</f>
        <v>quality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 t="s">
        <v>41</v>
      </c>
      <c r="C40" s="2" t="str">
        <f>IFERROR(__xludf.DUMMYFUNCTION("IF(B40&lt;&gt;"""",GOOGLETRANSLATE(B40,""zh"",""zh-TW""),"""")"),"風險")</f>
        <v>風險</v>
      </c>
      <c r="D40" s="4" t="str">
        <f>IFERROR(__xludf.DUMMYFUNCTION("IF(B40&lt;&gt;"""",GOOGLETRANSLATE(B40,""zh"",""en""),"""")"),"risk")</f>
        <v>risk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 t="s">
        <v>42</v>
      </c>
      <c r="C41" s="2" t="str">
        <f>IFERROR(__xludf.DUMMYFUNCTION("IF(B41&lt;&gt;"""",GOOGLETRANSLATE(B41,""zh"",""zh-TW""),"""")"),"婦女")</f>
        <v>婦女</v>
      </c>
      <c r="D41" s="4" t="str">
        <f>IFERROR(__xludf.DUMMYFUNCTION("IF(B41&lt;&gt;"""",GOOGLETRANSLATE(B41,""zh"",""en""),"""")"),"Woman")</f>
        <v>Woman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 t="s">
        <v>43</v>
      </c>
      <c r="C42" s="2" t="str">
        <f>IFERROR(__xludf.DUMMYFUNCTION("IF(B42&lt;&gt;"""",GOOGLETRANSLATE(B42,""zh"",""zh-TW""),"""")"),"負擔")</f>
        <v>負擔</v>
      </c>
      <c r="D42" s="4" t="str">
        <f>IFERROR(__xludf.DUMMYFUNCTION("IF(B42&lt;&gt;"""",GOOGLETRANSLATE(B42,""zh"",""en""),"""")"),"burden")</f>
        <v>burden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 t="s">
        <v>44</v>
      </c>
      <c r="C43" s="2" t="str">
        <f>IFERROR(__xludf.DUMMYFUNCTION("IF(B43&lt;&gt;"""",GOOGLETRANSLATE(B43,""zh"",""zh-TW""),"""")"),"改革開放")</f>
        <v>改革開放</v>
      </c>
      <c r="D43" s="4" t="str">
        <f>IFERROR(__xludf.DUMMYFUNCTION("IF(B43&lt;&gt;"""",GOOGLETRANSLATE(B43,""zh"",""en""),"""")"),"Reform and Opening")</f>
        <v>Reform and Opening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 t="s">
        <v>45</v>
      </c>
      <c r="C44" s="2" t="str">
        <f>IFERROR(__xludf.DUMMYFUNCTION("IF(B44&lt;&gt;"""",GOOGLETRANSLATE(B44,""zh"",""zh-TW""),"""")"),"蓋(房子)")</f>
        <v>蓋(房子)</v>
      </c>
      <c r="D44" s="4" t="str">
        <f>IFERROR(__xludf.DUMMYFUNCTION("IF(B44&lt;&gt;"""",GOOGLETRANSLATE(B44,""zh"",""en""),"""")"),"Build a house)")</f>
        <v>Build a house)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 t="s">
        <v>46</v>
      </c>
      <c r="C45" s="2" t="str">
        <f>IFERROR(__xludf.DUMMYFUNCTION("IF(B45&lt;&gt;"""",GOOGLETRANSLATE(B45,""zh"",""zh-TW""),"""")"),"革命")</f>
        <v>革命</v>
      </c>
      <c r="D45" s="4" t="str">
        <f>IFERROR(__xludf.DUMMYFUNCTION("IF(B45&lt;&gt;"""",GOOGLETRANSLATE(B45,""zh"",""en""),"""")"),"revolution")</f>
        <v>revolution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 t="s">
        <v>47</v>
      </c>
      <c r="C46" s="2" t="str">
        <f>IFERROR(__xludf.DUMMYFUNCTION("IF(B46&lt;&gt;"""",GOOGLETRANSLATE(B46,""zh"",""zh-TW""),"""")"),"股票")</f>
        <v>股票</v>
      </c>
      <c r="D46" s="4" t="str">
        <f>IFERROR(__xludf.DUMMYFUNCTION("IF(B46&lt;&gt;"""",GOOGLETRANSLATE(B46,""zh"",""en""),"""")"),"stock")</f>
        <v>stock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 t="s">
        <v>48</v>
      </c>
      <c r="C47" s="2" t="str">
        <f>IFERROR(__xludf.DUMMYFUNCTION("IF(B47&lt;&gt;"""",GOOGLETRANSLATE(B47,""zh"",""zh-TW""),"""")"),"故事")</f>
        <v>故事</v>
      </c>
      <c r="D47" s="4" t="str">
        <f>IFERROR(__xludf.DUMMYFUNCTION("IF(B47&lt;&gt;"""",GOOGLETRANSLATE(B47,""zh"",""en""),"""")"),"story")</f>
        <v>story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 t="s">
        <v>49</v>
      </c>
      <c r="C48" s="2" t="str">
        <f>IFERROR(__xludf.DUMMYFUNCTION("IF(B48&lt;&gt;"""",GOOGLETRANSLATE(B48,""zh"",""zh-TW""),"""")"),"合約")</f>
        <v>合約</v>
      </c>
      <c r="D48" s="4" t="str">
        <f>IFERROR(__xludf.DUMMYFUNCTION("IF(B48&lt;&gt;"""",GOOGLETRANSLATE(B48,""zh"",""en""),"""")"),"contract")</f>
        <v>contract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 t="s">
        <v>50</v>
      </c>
      <c r="C49" s="2" t="str">
        <f>IFERROR(__xludf.DUMMYFUNCTION("IF(B49&lt;&gt;"""",GOOGLETRANSLATE(B49,""zh"",""zh-TW""),"""")"),"化學")</f>
        <v>化學</v>
      </c>
      <c r="D49" s="4" t="str">
        <f>IFERROR(__xludf.DUMMYFUNCTION("IF(B49&lt;&gt;"""",GOOGLETRANSLATE(B49,""zh"",""en""),"""")"),"Chemical")</f>
        <v>Chemical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 t="s">
        <v>51</v>
      </c>
      <c r="C50" s="2" t="str">
        <f>IFERROR(__xludf.DUMMYFUNCTION("IF(B50&lt;&gt;"""",GOOGLETRANSLATE(B50,""zh"",""zh-TW""),"""")"),"環境")</f>
        <v>環境</v>
      </c>
      <c r="D50" s="4" t="str">
        <f>IFERROR(__xludf.DUMMYFUNCTION("IF(B50&lt;&gt;"""",GOOGLETRANSLATE(B50,""zh"",""en""),"""")"),"environment")</f>
        <v>environment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 t="s">
        <v>52</v>
      </c>
      <c r="C51" s="2" t="str">
        <f>IFERROR(__xludf.DUMMYFUNCTION("IF(B51&lt;&gt;"""",GOOGLETRANSLATE(B51,""zh"",""zh-TW""),"""")"),"回收")</f>
        <v>回收</v>
      </c>
      <c r="D51" s="4" t="str">
        <f>IFERROR(__xludf.DUMMYFUNCTION("IF(B51&lt;&gt;"""",GOOGLETRANSLATE(B51,""zh"",""en""),"""")"),"Recycle")</f>
        <v>Recycle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 t="s">
        <v>53</v>
      </c>
      <c r="C52" s="2" t="str">
        <f>IFERROR(__xludf.DUMMYFUNCTION("IF(B52&lt;&gt;"""",GOOGLETRANSLATE(B52,""zh"",""zh-TW""),"""")"),"交通")</f>
        <v>交通</v>
      </c>
      <c r="D52" s="4" t="str">
        <f>IFERROR(__xludf.DUMMYFUNCTION("IF(B52&lt;&gt;"""",GOOGLETRANSLATE(B52,""zh"",""en""),"""")"),"transportation")</f>
        <v>transportation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 t="s">
        <v>54</v>
      </c>
      <c r="C53" s="2" t="str">
        <f>IFERROR(__xludf.DUMMYFUNCTION("IF(B53&lt;&gt;"""",GOOGLETRANSLATE(B53,""zh"",""zh-TW""),"""")"),"擁擠")</f>
        <v>擁擠</v>
      </c>
      <c r="D53" s="4" t="str">
        <f>IFERROR(__xludf.DUMMYFUNCTION("IF(B53&lt;&gt;"""",GOOGLETRANSLATE(B53,""zh"",""en""),"""")"),"Crowded")</f>
        <v>Crowded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 t="s">
        <v>55</v>
      </c>
      <c r="C54" s="2" t="str">
        <f>IFERROR(__xludf.DUMMYFUNCTION("IF(B54&lt;&gt;"""",GOOGLETRANSLATE(B54,""zh"",""zh-TW""),"""")"),"堵塞")</f>
        <v>堵塞</v>
      </c>
      <c r="D54" s="4" t="str">
        <f>IFERROR(__xludf.DUMMYFUNCTION("IF(B54&lt;&gt;"""",GOOGLETRANSLATE(B54,""zh"",""en""),"""")"),"Blocked")</f>
        <v>Blocked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 t="s">
        <v>56</v>
      </c>
      <c r="C55" s="2" t="str">
        <f>IFERROR(__xludf.DUMMYFUNCTION("IF(B55&lt;&gt;"""",GOOGLETRANSLATE(B55,""zh"",""zh-TW""),"""")"),"交流")</f>
        <v>交流</v>
      </c>
      <c r="D55" s="4" t="str">
        <f>IFERROR(__xludf.DUMMYFUNCTION("IF(B55&lt;&gt;"""",GOOGLETRANSLATE(B55,""zh"",""en""),"""")"),"comminicate")</f>
        <v>comminicate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 t="s">
        <v>57</v>
      </c>
      <c r="C56" s="2" t="str">
        <f>IFERROR(__xludf.DUMMYFUNCTION("IF(B56&lt;&gt;"""",GOOGLETRANSLATE(B56,""zh"",""zh-TW""),"""")"),"節約")</f>
        <v>節約</v>
      </c>
      <c r="D56" s="4" t="str">
        <f>IFERROR(__xludf.DUMMYFUNCTION("IF(B56&lt;&gt;"""",GOOGLETRANSLATE(B56,""zh"",""en""),"""")"),"save")</f>
        <v>save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 t="s">
        <v>58</v>
      </c>
      <c r="C57" s="2" t="str">
        <f>IFERROR(__xludf.DUMMYFUNCTION("IF(B57&lt;&gt;"""",GOOGLETRANSLATE(B57,""zh"",""zh-TW""),"""")"),"解決")</f>
        <v>解決</v>
      </c>
      <c r="D57" s="4" t="str">
        <f>IFERROR(__xludf.DUMMYFUNCTION("IF(B57&lt;&gt;"""",GOOGLETRANSLATE(B57,""zh"",""en""),"""")"),"solve")</f>
        <v>solve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 t="s">
        <v>59</v>
      </c>
      <c r="C58" s="2" t="str">
        <f>IFERROR(__xludf.DUMMYFUNCTION("IF(B58&lt;&gt;"""",GOOGLETRANSLATE(B58,""zh"",""zh-TW""),"""")"),"決定")</f>
        <v>決定</v>
      </c>
      <c r="D58" s="4" t="str">
        <f>IFERROR(__xludf.DUMMYFUNCTION("IF(B58&lt;&gt;"""",GOOGLETRANSLATE(B58,""zh"",""en""),"""")"),"Decide")</f>
        <v>Decide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 t="s">
        <v>60</v>
      </c>
      <c r="C59" s="2" t="str">
        <f>IFERROR(__xludf.DUMMYFUNCTION("IF(B59&lt;&gt;"""",GOOGLETRANSLATE(B59,""zh"",""zh-TW""),"""")"),"進入")</f>
        <v>進入</v>
      </c>
      <c r="D59" s="4" t="str">
        <f>IFERROR(__xludf.DUMMYFUNCTION("IF(B59&lt;&gt;"""",GOOGLETRANSLATE(B59,""zh"",""en""),"""")"),"Enter")</f>
        <v>Enter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 t="s">
        <v>61</v>
      </c>
      <c r="C60" s="2" t="str">
        <f>IFERROR(__xludf.DUMMYFUNCTION("IF(B60&lt;&gt;"""",GOOGLETRANSLATE(B60,""zh"",""zh-TW""),"""")"),"進行")</f>
        <v>進行</v>
      </c>
      <c r="D60" s="4" t="str">
        <f>IFERROR(__xludf.DUMMYFUNCTION("IF(B60&lt;&gt;"""",GOOGLETRANSLATE(B60,""zh"",""en""),"""")"),"conduct")</f>
        <v>conduct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 t="s">
        <v>62</v>
      </c>
      <c r="C61" s="2" t="str">
        <f>IFERROR(__xludf.DUMMYFUNCTION("IF(B61&lt;&gt;"""",GOOGLETRANSLATE(B61,""zh"",""zh-TW""),"""")"),"經濟")</f>
        <v>經濟</v>
      </c>
      <c r="D61" s="4" t="str">
        <f>IFERROR(__xludf.DUMMYFUNCTION("IF(B61&lt;&gt;"""",GOOGLETRANSLATE(B61,""zh"",""en""),"""")"),"economy")</f>
        <v>economy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 t="s">
        <v>63</v>
      </c>
      <c r="C62" s="2" t="str">
        <f>IFERROR(__xludf.DUMMYFUNCTION("IF(B62&lt;&gt;"""",GOOGLETRANSLATE(B62,""zh"",""zh-TW""),"""")"),"空調")</f>
        <v>空調</v>
      </c>
      <c r="D62" s="4" t="str">
        <f>IFERROR(__xludf.DUMMYFUNCTION("IF(B62&lt;&gt;"""",GOOGLETRANSLATE(B62,""zh"",""en""),"""")"),"air conditioner")</f>
        <v>air conditioner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 t="s">
        <v>64</v>
      </c>
      <c r="C63" s="2" t="str">
        <f>IFERROR(__xludf.DUMMYFUNCTION("IF(B63&lt;&gt;"""",GOOGLETRANSLATE(B63,""zh"",""zh-TW""),"""")"),"空氣")</f>
        <v>空氣</v>
      </c>
      <c r="D63" s="4" t="str">
        <f>IFERROR(__xludf.DUMMYFUNCTION("IF(B63&lt;&gt;"""",GOOGLETRANSLATE(B63,""zh"",""en""),"""")"),"Air")</f>
        <v>Air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 t="s">
        <v>65</v>
      </c>
      <c r="C64" s="2" t="str">
        <f>IFERROR(__xludf.DUMMYFUNCTION("IF(B64&lt;&gt;"""",GOOGLETRANSLATE(B64,""zh"",""zh-TW""),"""")"),"利用")</f>
        <v>利用</v>
      </c>
      <c r="D64" s="4" t="str">
        <f>IFERROR(__xludf.DUMMYFUNCTION("IF(B64&lt;&gt;"""",GOOGLETRANSLATE(B64,""zh"",""en""),"""")"),"use")</f>
        <v>use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 t="s">
        <v>66</v>
      </c>
      <c r="C65" s="2" t="str">
        <f>IFERROR(__xludf.DUMMYFUNCTION("IF(B65&lt;&gt;"""",GOOGLETRANSLATE(B65,""zh"",""zh-TW""),"""")"),"利息")</f>
        <v>利息</v>
      </c>
      <c r="D65" s="4" t="str">
        <f>IFERROR(__xludf.DUMMYFUNCTION("IF(B65&lt;&gt;"""",GOOGLETRANSLATE(B65,""zh"",""en""),"""")"),"Interest")</f>
        <v>Interest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 t="s">
        <v>67</v>
      </c>
      <c r="C66" s="2" t="str">
        <f>IFERROR(__xludf.DUMMYFUNCTION("IF(B66&lt;&gt;"""",GOOGLETRANSLATE(B66,""zh"",""zh-TW""),"""")"),"貿易")</f>
        <v>貿易</v>
      </c>
      <c r="D66" s="4" t="str">
        <f>IFERROR(__xludf.DUMMYFUNCTION("IF(B66&lt;&gt;"""",GOOGLETRANSLATE(B66,""zh"",""en""),"""")"),"trading")</f>
        <v>trading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 t="s">
        <v>68</v>
      </c>
      <c r="C67" s="2" t="str">
        <f>IFERROR(__xludf.DUMMYFUNCTION("IF(B67&lt;&gt;"""",GOOGLETRANSLATE(B67,""zh"",""zh-TW""),"""")"),"暖氣")</f>
        <v>暖氣</v>
      </c>
      <c r="D67" s="4" t="str">
        <f>IFERROR(__xludf.DUMMYFUNCTION("IF(B67&lt;&gt;"""",GOOGLETRANSLATE(B67,""zh"",""en""),"""")"),"Heating")</f>
        <v>Heating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 t="s">
        <v>69</v>
      </c>
      <c r="C68" s="2" t="str">
        <f>IFERROR(__xludf.DUMMYFUNCTION("IF(B68&lt;&gt;"""",GOOGLETRANSLATE(B68,""zh"",""zh-TW""),"""")"),"女性")</f>
        <v>女性</v>
      </c>
      <c r="D68" s="4" t="str">
        <f>IFERROR(__xludf.DUMMYFUNCTION("IF(B68&lt;&gt;"""",GOOGLETRANSLATE(B68,""zh"",""en""),"""")"),"female")</f>
        <v>female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 t="s">
        <v>70</v>
      </c>
      <c r="C69" s="2" t="str">
        <f>IFERROR(__xludf.DUMMYFUNCTION("IF(B69&lt;&gt;"""",GOOGLETRANSLATE(B69,""zh"",""zh-TW""),"""")"),"貧窮")</f>
        <v>貧窮</v>
      </c>
      <c r="D69" s="4" t="str">
        <f>IFERROR(__xludf.DUMMYFUNCTION("IF(B69&lt;&gt;"""",GOOGLETRANSLATE(B69,""zh"",""en""),"""")"),"poverty")</f>
        <v>poverty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 t="s">
        <v>71</v>
      </c>
      <c r="C70" s="2" t="str">
        <f>IFERROR(__xludf.DUMMYFUNCTION("IF(B70&lt;&gt;"""",GOOGLETRANSLATE(B70,""zh"",""zh-TW""),"""")"),"平等")</f>
        <v>平等</v>
      </c>
      <c r="D70" s="4" t="str">
        <f>IFERROR(__xludf.DUMMYFUNCTION("IF(B70&lt;&gt;"""",GOOGLETRANSLATE(B70,""zh"",""en""),"""")"),"equality")</f>
        <v>equality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 t="s">
        <v>72</v>
      </c>
      <c r="C71" s="2" t="str">
        <f>IFERROR(__xludf.DUMMYFUNCTION("IF(B71&lt;&gt;"""",GOOGLETRANSLATE(B71,""zh"",""zh-TW""),"""")"),"公平")</f>
        <v>公平</v>
      </c>
      <c r="D71" s="4" t="str">
        <f>IFERROR(__xludf.DUMMYFUNCTION("IF(B71&lt;&gt;"""",GOOGLETRANSLATE(B71,""zh"",""en""),"""")"),"fair")</f>
        <v>fair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 t="s">
        <v>73</v>
      </c>
      <c r="C72" s="2" t="str">
        <f>IFERROR(__xludf.DUMMYFUNCTION("IF(B72&lt;&gt;"""",GOOGLETRANSLATE(B72,""zh"",""zh-TW""),"""")"),"瓶裝水")</f>
        <v>瓶裝水</v>
      </c>
      <c r="D72" s="4" t="str">
        <f>IFERROR(__xludf.DUMMYFUNCTION("IF(B72&lt;&gt;"""",GOOGLETRANSLATE(B72,""zh"",""en""),"""")"),"bottled water")</f>
        <v>bottled water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 t="s">
        <v>74</v>
      </c>
      <c r="C73" s="2" t="str">
        <f>IFERROR(__xludf.DUMMYFUNCTION("IF(B73&lt;&gt;"""",GOOGLETRANSLATE(B73,""zh"",""zh-TW""),"""")"),"企業")</f>
        <v>企業</v>
      </c>
      <c r="D73" s="4" t="str">
        <f>IFERROR(__xludf.DUMMYFUNCTION("IF(B73&lt;&gt;"""",GOOGLETRANSLATE(B73,""zh"",""en""),"""")"),"enterprise")</f>
        <v>enterprise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 t="s">
        <v>75</v>
      </c>
      <c r="C74" s="2" t="str">
        <f>IFERROR(__xludf.DUMMYFUNCTION("IF(B74&lt;&gt;"""",GOOGLETRANSLATE(B74,""zh"",""zh-TW""),"""")"),"簽")</f>
        <v>簽</v>
      </c>
      <c r="D74" s="4" t="str">
        <f>IFERROR(__xludf.DUMMYFUNCTION("IF(B74&lt;&gt;"""",GOOGLETRANSLATE(B74,""zh"",""en""),"""")"),"sign")</f>
        <v>sign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 t="s">
        <v>76</v>
      </c>
      <c r="C75" s="2" t="str">
        <f>IFERROR(__xludf.DUMMYFUNCTION("IF(B75&lt;&gt;"""",GOOGLETRANSLATE(B75,""zh"",""zh-TW""),"""")"),"取得")</f>
        <v>取得</v>
      </c>
      <c r="D75" s="4" t="str">
        <f>IFERROR(__xludf.DUMMYFUNCTION("IF(B75&lt;&gt;"""",GOOGLETRANSLATE(B75,""zh"",""en""),"""")"),"Obtain")</f>
        <v>Obtain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 t="s">
        <v>77</v>
      </c>
      <c r="C76" s="2" t="str">
        <f>IFERROR(__xludf.DUMMYFUNCTION("IF(B76&lt;&gt;"""",GOOGLETRANSLATE(B76,""zh"",""zh-TW""),"""")"),"取之不得")</f>
        <v>取之不得</v>
      </c>
      <c r="D76" s="4" t="str">
        <f>IFERROR(__xludf.DUMMYFUNCTION("IF(B76&lt;&gt;"""",GOOGLETRANSLATE(B76,""zh"",""en""),"""")"),"Be able to take it")</f>
        <v>Be able to take it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 t="s">
        <v>78</v>
      </c>
      <c r="C77" s="2" t="str">
        <f>IFERROR(__xludf.DUMMYFUNCTION("IF(B77&lt;&gt;"""",GOOGLETRANSLATE(B77,""zh"",""zh-TW""),"""")"),"剩餘")</f>
        <v>剩餘</v>
      </c>
      <c r="D77" s="4" t="str">
        <f>IFERROR(__xludf.DUMMYFUNCTION("IF(B77&lt;&gt;"""",GOOGLETRANSLATE(B77,""zh"",""en""),"""")"),"Surplus")</f>
        <v>Surplus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 t="s">
        <v>79</v>
      </c>
      <c r="C78" s="2" t="str">
        <f>IFERROR(__xludf.DUMMYFUNCTION("IF(B78&lt;&gt;"""",GOOGLETRANSLATE(B78,""zh"",""zh-TW""),"""")"),"剩下（來）")</f>
        <v>剩下（來）</v>
      </c>
      <c r="D78" s="4" t="str">
        <f>IFERROR(__xludf.DUMMYFUNCTION("IF(B78&lt;&gt;"""",GOOGLETRANSLATE(B78,""zh"",""en""),"""")"),"The rest (Come)")</f>
        <v>The rest (Come)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 t="s">
        <v>80</v>
      </c>
      <c r="C79" s="2" t="str">
        <f>IFERROR(__xludf.DUMMYFUNCTION("IF(B79&lt;&gt;"""",GOOGLETRANSLATE(B79,""zh"",""zh-TW""),"""")"),"時代")</f>
        <v>時代</v>
      </c>
      <c r="D79" s="4" t="str">
        <f>IFERROR(__xludf.DUMMYFUNCTION("IF(B79&lt;&gt;"""",GOOGLETRANSLATE(B79,""zh"",""en""),"""")"),"era")</f>
        <v>era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 t="s">
        <v>81</v>
      </c>
      <c r="C80" s="2" t="str">
        <f>IFERROR(__xludf.DUMMYFUNCTION("IF(B80&lt;&gt;"""",GOOGLETRANSLATE(B80,""zh"",""zh-TW""),"""")"),"石油")</f>
        <v>石油</v>
      </c>
      <c r="D80" s="4" t="str">
        <f>IFERROR(__xludf.DUMMYFUNCTION("IF(B80&lt;&gt;"""",GOOGLETRANSLATE(B80,""zh"",""en""),"""")"),"oil")</f>
        <v>oil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 t="s">
        <v>82</v>
      </c>
      <c r="C81" s="2" t="str">
        <f>IFERROR(__xludf.DUMMYFUNCTION("IF(B81&lt;&gt;"""",GOOGLETRANSLATE(B81,""zh"",""zh-TW""),"""")"),"市場")</f>
        <v>市場</v>
      </c>
      <c r="D81" s="4" t="str">
        <f>IFERROR(__xludf.DUMMYFUNCTION("IF(B81&lt;&gt;"""",GOOGLETRANSLATE(B81,""zh"",""en""),"""")"),"market")</f>
        <v>market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 t="s">
        <v>83</v>
      </c>
      <c r="C82" s="2" t="str">
        <f>IFERROR(__xludf.DUMMYFUNCTION("IF(B82&lt;&gt;"""",GOOGLETRANSLATE(B82,""zh"",""zh-TW""),"""")"),"世紀 ")</f>
        <v>世紀 </v>
      </c>
      <c r="D82" s="4" t="str">
        <f>IFERROR(__xludf.DUMMYFUNCTION("IF(B82&lt;&gt;"""",GOOGLETRANSLATE(B82,""zh"",""en""),"""")"),"Century")</f>
        <v>Century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 t="s">
        <v>84</v>
      </c>
      <c r="C83" s="2" t="str">
        <f>IFERROR(__xludf.DUMMYFUNCTION("IF(B83&lt;&gt;"""",GOOGLETRANSLATE(B83,""zh"",""zh-TW""),"""")"),"收入")</f>
        <v>收入</v>
      </c>
      <c r="D83" s="4" t="str">
        <f>IFERROR(__xludf.DUMMYFUNCTION("IF(B83&lt;&gt;"""",GOOGLETRANSLATE(B83,""zh"",""en""),"""")"),"income")</f>
        <v>income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 t="s">
        <v>85</v>
      </c>
      <c r="C84" s="2" t="str">
        <f>IFERROR(__xludf.DUMMYFUNCTION("IF(B84&lt;&gt;"""",GOOGLETRANSLATE(B84,""zh"",""zh-TW""),"""")"),"薪水")</f>
        <v>薪水</v>
      </c>
      <c r="D84" s="4" t="str">
        <f>IFERROR(__xludf.DUMMYFUNCTION("IF(B84&lt;&gt;"""",GOOGLETRANSLATE(B84,""zh"",""en""),"""")"),"salary")</f>
        <v>salary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 t="s">
        <v>86</v>
      </c>
      <c r="C85" s="2" t="str">
        <f>IFERROR(__xludf.DUMMYFUNCTION("IF(B85&lt;&gt;"""",GOOGLETRANSLATE(B85,""zh"",""zh-TW""),"""")"),"數字")</f>
        <v>數字</v>
      </c>
      <c r="D85" s="4" t="str">
        <f>IFERROR(__xludf.DUMMYFUNCTION("IF(B85&lt;&gt;"""",GOOGLETRANSLATE(B85,""zh"",""en""),"""")"),"number")</f>
        <v>number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 t="s">
        <v>23</v>
      </c>
      <c r="C86" s="2" t="str">
        <f>IFERROR(__xludf.DUMMYFUNCTION("IF(B86&lt;&gt;"""",GOOGLETRANSLATE(B86,""zh"",""zh-TW""),"""")"),"稅")</f>
        <v>稅</v>
      </c>
      <c r="D86" s="4" t="str">
        <f>IFERROR(__xludf.DUMMYFUNCTION("IF(B86&lt;&gt;"""",GOOGLETRANSLATE(B86,""zh"",""en""),"""")"),"Tax")</f>
        <v>Tax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 t="s">
        <v>87</v>
      </c>
      <c r="C87" s="2" t="str">
        <f>IFERROR(__xludf.DUMMYFUNCTION("IF(B87&lt;&gt;"""",GOOGLETRANSLATE(B87,""zh"",""zh-TW""),"""")"),"同工同酬")</f>
        <v>同工同酬</v>
      </c>
      <c r="D87" s="4" t="str">
        <f>IFERROR(__xludf.DUMMYFUNCTION("IF(B87&lt;&gt;"""",GOOGLETRANSLATE(B87,""zh"",""en""),"""")"),"Equal remuneration")</f>
        <v>Equal remuneration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 t="s">
        <v>88</v>
      </c>
      <c r="C88" s="2" t="str">
        <f>IFERROR(__xludf.DUMMYFUNCTION("IF(B88&lt;&gt;"""",GOOGLETRANSLATE(B88,""zh"",""zh-TW""),"""")"),"競爭")</f>
        <v>競爭</v>
      </c>
      <c r="D88" s="4" t="str">
        <f>IFERROR(__xludf.DUMMYFUNCTION("IF(B88&lt;&gt;"""",GOOGLETRANSLATE(B88,""zh"",""en""),"""")"),"compete")</f>
        <v>compete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 t="s">
        <v>89</v>
      </c>
      <c r="C89" s="2" t="str">
        <f>IFERROR(__xludf.DUMMYFUNCTION("IF(B89&lt;&gt;"""",GOOGLETRANSLATE(B89,""zh"",""zh-TW""),"""")"),"條件")</f>
        <v>條件</v>
      </c>
      <c r="D89" s="4" t="str">
        <f>IFERROR(__xludf.DUMMYFUNCTION("IF(B89&lt;&gt;"""",GOOGLETRANSLATE(B89,""zh"",""en""),"""")"),"condition")</f>
        <v>condition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 t="s">
        <v>90</v>
      </c>
      <c r="C90" s="2" t="str">
        <f>IFERROR(__xludf.DUMMYFUNCTION("IF(B90&lt;&gt;"""",GOOGLETRANSLATE(B90,""zh"",""zh-TW""),"""")"),"同事")</f>
        <v>同事</v>
      </c>
      <c r="D90" s="4" t="str">
        <f>IFERROR(__xludf.DUMMYFUNCTION("IF(B90&lt;&gt;"""",GOOGLETRANSLATE(B90,""zh"",""en""),"""")"),"colleague")</f>
        <v>colleague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 t="s">
        <v>91</v>
      </c>
      <c r="C91" s="2" t="str">
        <f>IFERROR(__xludf.DUMMYFUNCTION("IF(B91&lt;&gt;"""",GOOGLETRANSLATE(B91,""zh"",""zh-TW""),"""")"),"統一")</f>
        <v>統一</v>
      </c>
      <c r="D91" s="4" t="str">
        <f>IFERROR(__xludf.DUMMYFUNCTION("IF(B91&lt;&gt;"""",GOOGLETRANSLATE(B91,""zh"",""en""),"""")"),"Unite")</f>
        <v>Unite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 t="s">
        <v>92</v>
      </c>
      <c r="C92" s="2" t="str">
        <f>IFERROR(__xludf.DUMMYFUNCTION("IF(B92&lt;&gt;"""",GOOGLETRANSLATE(B92,""zh"",""zh-TW""),"""")"),"投資")</f>
        <v>投資</v>
      </c>
      <c r="D92" s="4" t="str">
        <f>IFERROR(__xludf.DUMMYFUNCTION("IF(B92&lt;&gt;"""",GOOGLETRANSLATE(B92,""zh"",""en""),"""")"),"invest")</f>
        <v>invest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 t="s">
        <v>93</v>
      </c>
      <c r="C93" s="2" t="str">
        <f>IFERROR(__xludf.DUMMYFUNCTION("IF(B93&lt;&gt;"""",GOOGLETRANSLATE(B93,""zh"",""zh-TW""),"""")"),"危機")</f>
        <v>危機</v>
      </c>
      <c r="D93" s="4" t="str">
        <f>IFERROR(__xludf.DUMMYFUNCTION("IF(B93&lt;&gt;"""",GOOGLETRANSLATE(B93,""zh"",""en""),"""")"),"crisis")</f>
        <v>crisis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 t="s">
        <v>94</v>
      </c>
      <c r="C94" s="2" t="str">
        <f>IFERROR(__xludf.DUMMYFUNCTION("IF(B94&lt;&gt;"""",GOOGLETRANSLATE(B94,""zh"",""zh-TW""),"""")"),"污染")</f>
        <v>污染</v>
      </c>
      <c r="D94" s="4" t="str">
        <f>IFERROR(__xludf.DUMMYFUNCTION("IF(B94&lt;&gt;"""",GOOGLETRANSLATE(B94,""zh"",""en""),"""")"),"pollute")</f>
        <v>pollute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 t="s">
        <v>95</v>
      </c>
      <c r="C95" s="2" t="str">
        <f>IFERROR(__xludf.DUMMYFUNCTION("IF(B95&lt;&gt;"""",GOOGLETRANSLATE(B95,""zh"",""zh-TW""),"""")"),"穩定")</f>
        <v>穩定</v>
      </c>
      <c r="D95" s="4" t="str">
        <f>IFERROR(__xludf.DUMMYFUNCTION("IF(B95&lt;&gt;"""",GOOGLETRANSLATE(B95,""zh"",""en""),"""")"),"Stablize")</f>
        <v>Stablize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 t="s">
        <v>96</v>
      </c>
      <c r="C96" s="2" t="str">
        <f>IFERROR(__xludf.DUMMYFUNCTION("IF(B96&lt;&gt;"""",GOOGLETRANSLATE(B96,""zh"",""zh-TW""),"""")"),"吸煙")</f>
        <v>吸煙</v>
      </c>
      <c r="D96" s="4" t="str">
        <f>IFERROR(__xludf.DUMMYFUNCTION("IF(B96&lt;&gt;"""",GOOGLETRANSLATE(B96,""zh"",""en""),"""")"),"Smoke")</f>
        <v>Smoke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 t="s">
        <v>97</v>
      </c>
      <c r="C97" s="2" t="str">
        <f>IFERROR(__xludf.DUMMYFUNCTION("IF(B97&lt;&gt;"""",GOOGLETRANSLATE(B97,""zh"",""zh-TW""),"""")"),"現象")</f>
        <v>現象</v>
      </c>
      <c r="D97" s="4" t="str">
        <f>IFERROR(__xludf.DUMMYFUNCTION("IF(B97&lt;&gt;"""",GOOGLETRANSLATE(B97,""zh"",""en""),"""")"),"Phenomenon")</f>
        <v>Phenomenon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 t="s">
        <v>98</v>
      </c>
      <c r="C98" s="2" t="str">
        <f>IFERROR(__xludf.DUMMYFUNCTION("IF(B98&lt;&gt;"""",GOOGLETRANSLATE(B98,""zh"",""zh-TW""),"""")"),"享受")</f>
        <v>享受</v>
      </c>
      <c r="D98" s="4" t="str">
        <f>IFERROR(__xludf.DUMMYFUNCTION("IF(B98&lt;&gt;"""",GOOGLETRANSLATE(B98,""zh"",""en""),"""")"),"enjoy")</f>
        <v>enjoy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 t="s">
        <v>99</v>
      </c>
      <c r="C99" s="2" t="str">
        <f>IFERROR(__xludf.DUMMYFUNCTION("IF(B99&lt;&gt;"""",GOOGLETRANSLATE(B99,""zh"",""zh-TW""),"""")"),"受到")</f>
        <v>受到</v>
      </c>
      <c r="D99" s="4" t="str">
        <f>IFERROR(__xludf.DUMMYFUNCTION("IF(B99&lt;&gt;"""",GOOGLETRANSLATE(B99,""zh"",""en""),"""")"),"Suffer")</f>
        <v>Suffer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 t="s">
        <v>100</v>
      </c>
      <c r="C100" s="2" t="str">
        <f>IFERROR(__xludf.DUMMYFUNCTION("IF(B100&lt;&gt;"""",GOOGLETRANSLATE(B100,""zh"",""zh-TW""),"""")"),"消費")</f>
        <v>消費</v>
      </c>
      <c r="D100" s="4" t="str">
        <f>IFERROR(__xludf.DUMMYFUNCTION("IF(B100&lt;&gt;"""",GOOGLETRANSLATE(B100,""zh"",""en""),"""")"),"Consumption")</f>
        <v>Consumption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 t="s">
        <v>101</v>
      </c>
      <c r="C101" s="2" t="str">
        <f>IFERROR(__xludf.DUMMYFUNCTION("IF(B101&lt;&gt;"""",GOOGLETRANSLATE(B101,""zh"",""zh-TW""),"""")"),"新聞")</f>
        <v>新聞</v>
      </c>
      <c r="D101" s="4" t="str">
        <f>IFERROR(__xludf.DUMMYFUNCTION("IF(B101&lt;&gt;"""",GOOGLETRANSLATE(B101,""zh"",""en""),"""")"),"news")</f>
        <v>news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 t="s">
        <v>102</v>
      </c>
      <c r="C102" s="2" t="str">
        <f>IFERROR(__xludf.DUMMYFUNCTION("IF(B102&lt;&gt;"""",GOOGLETRANSLATE(B102,""zh"",""zh-TW""),"""")"),"嚴肅")</f>
        <v>嚴肅</v>
      </c>
      <c r="D102" s="4" t="str">
        <f>IFERROR(__xludf.DUMMYFUNCTION("IF(B102&lt;&gt;"""",GOOGLETRANSLATE(B102,""zh"",""en""),"""")"),"serious")</f>
        <v>serious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 t="s">
        <v>103</v>
      </c>
      <c r="C103" s="2" t="str">
        <f>IFERROR(__xludf.DUMMYFUNCTION("IF(B103&lt;&gt;"""",GOOGLETRANSLATE(B103,""zh"",""zh-TW""),"""")"),"嚴重")</f>
        <v>嚴重</v>
      </c>
      <c r="D103" s="4" t="str">
        <f>IFERROR(__xludf.DUMMYFUNCTION("IF(B103&lt;&gt;"""",GOOGLETRANSLATE(B103,""zh"",""en""),"""")"),"serious")</f>
        <v>serious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 t="s">
        <v>104</v>
      </c>
      <c r="C104" s="2" t="str">
        <f>IFERROR(__xludf.DUMMYFUNCTION("IF(B104&lt;&gt;"""",GOOGLETRANSLATE(B104,""zh"",""zh-TW""),"""")"),"嚴禁...")</f>
        <v>嚴禁...</v>
      </c>
      <c r="D104" s="4" t="str">
        <f>IFERROR(__xludf.DUMMYFUNCTION("IF(B104&lt;&gt;"""",GOOGLETRANSLATE(B104,""zh"",""en""),"""")"),"It is strictly forbidden ...")</f>
        <v>It is strictly forbidden ...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 t="s">
        <v>105</v>
      </c>
      <c r="C105" s="2" t="str">
        <f>IFERROR(__xludf.DUMMYFUNCTION("IF(B105&lt;&gt;"""",GOOGLETRANSLATE(B105,""zh"",""zh-TW""),"""")"),"一次性")</f>
        <v>一次性</v>
      </c>
      <c r="D105" s="4" t="str">
        <f>IFERROR(__xludf.DUMMYFUNCTION("IF(B105&lt;&gt;"""",GOOGLETRANSLATE(B105,""zh"",""en""),"""")"),"One -time")</f>
        <v>One -time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 t="s">
        <v>106</v>
      </c>
      <c r="C106" s="2" t="str">
        <f>IFERROR(__xludf.DUMMYFUNCTION("IF(B106&lt;&gt;"""",GOOGLETRANSLATE(B106,""zh"",""zh-TW""),"""")"),"意見/主意")</f>
        <v>意見/主意</v>
      </c>
      <c r="D106" s="4" t="str">
        <f>IFERROR(__xludf.DUMMYFUNCTION("IF(B106&lt;&gt;"""",GOOGLETRANSLATE(B106,""zh"",""en""),"""")"),"Opinion/idea")</f>
        <v>Opinion/idea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 t="s">
        <v>107</v>
      </c>
      <c r="C107" s="2" t="str">
        <f>IFERROR(__xludf.DUMMYFUNCTION("IF(B107&lt;&gt;"""",GOOGLETRANSLATE(B107,""zh"",""zh-TW""),"""")"),"同意")</f>
        <v>同意</v>
      </c>
      <c r="D107" s="4" t="str">
        <f>IFERROR(__xludf.DUMMYFUNCTION("IF(B107&lt;&gt;"""",GOOGLETRANSLATE(B107,""zh"",""en""),"""")"),"agree")</f>
        <v>agree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 t="s">
        <v>108</v>
      </c>
      <c r="C108" s="2" t="str">
        <f>IFERROR(__xludf.DUMMYFUNCTION("IF(B108&lt;&gt;"""",GOOGLETRANSLATE(B108,""zh"",""zh-TW""),"""")"),"贊成")</f>
        <v>贊成</v>
      </c>
      <c r="D108" s="4" t="str">
        <f>IFERROR(__xludf.DUMMYFUNCTION("IF(B108&lt;&gt;"""",GOOGLETRANSLATE(B108,""zh"",""en""),"""")"),"Approve")</f>
        <v>Approve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 t="s">
        <v>109</v>
      </c>
      <c r="C109" s="2" t="str">
        <f>IFERROR(__xludf.DUMMYFUNCTION("IF(B109&lt;&gt;"""",GOOGLETRANSLATE(B109,""zh"",""zh-TW""),"""")"),"增加")</f>
        <v>增加</v>
      </c>
      <c r="D109" s="4" t="str">
        <f>IFERROR(__xludf.DUMMYFUNCTION("IF(B109&lt;&gt;"""",GOOGLETRANSLATE(B109,""zh"",""en""),"""")"),"Increase")</f>
        <v>Increase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 t="s">
        <v>110</v>
      </c>
      <c r="C110" s="2" t="str">
        <f>IFERROR(__xludf.DUMMYFUNCTION("IF(B110&lt;&gt;"""",GOOGLETRANSLATE(B110,""zh"",""zh-TW""),"""")"),"減少")</f>
        <v>減少</v>
      </c>
      <c r="D110" s="4" t="str">
        <f>IFERROR(__xludf.DUMMYFUNCTION("IF(B110&lt;&gt;"""",GOOGLETRANSLATE(B110,""zh"",""en""),"""")"),"reduce")</f>
        <v>reduce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 t="s">
        <v>111</v>
      </c>
      <c r="C111" s="2" t="str">
        <f>IFERROR(__xludf.DUMMYFUNCTION("IF(B111&lt;&gt;"""",GOOGLETRANSLATE(B111,""zh"",""zh-TW""),"""")"),"政府")</f>
        <v>政府</v>
      </c>
      <c r="D111" s="4" t="str">
        <f>IFERROR(__xludf.DUMMYFUNCTION("IF(B111&lt;&gt;"""",GOOGLETRANSLATE(B111,""zh"",""en""),"""")"),"government")</f>
        <v>government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 t="s">
        <v>112</v>
      </c>
      <c r="C112" s="2" t="str">
        <f>IFERROR(__xludf.DUMMYFUNCTION("IF(B112&lt;&gt;"""",GOOGLETRANSLATE(B112,""zh"",""zh-TW""),"""")"),"逐漸")</f>
        <v>逐漸</v>
      </c>
      <c r="D112" s="4" t="str">
        <f>IFERROR(__xludf.DUMMYFUNCTION("IF(B112&lt;&gt;"""",GOOGLETRANSLATE(B112,""zh"",""en""),"""")"),"gradually")</f>
        <v>gradually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 t="s">
        <v>113</v>
      </c>
      <c r="C113" s="2" t="str">
        <f>IFERROR(__xludf.DUMMYFUNCTION("IF(B113&lt;&gt;"""",GOOGLETRANSLATE(B113,""zh"",""zh-TW""),"""")"),"主要")</f>
        <v>主要</v>
      </c>
      <c r="D113" s="4" t="str">
        <f>IFERROR(__xludf.DUMMYFUNCTION("IF(B113&lt;&gt;"""",GOOGLETRANSLATE(B113,""zh"",""en""),"""")"),"main")</f>
        <v>main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 t="s">
        <v>114</v>
      </c>
      <c r="C114" s="2" t="str">
        <f>IFERROR(__xludf.DUMMYFUNCTION("IF(B114&lt;&gt;"""",GOOGLETRANSLATE(B114,""zh"",""zh-TW""),"""")"),"注意")</f>
        <v>注意</v>
      </c>
      <c r="D114" s="4" t="str">
        <f>IFERROR(__xludf.DUMMYFUNCTION("IF(B114&lt;&gt;"""",GOOGLETRANSLATE(B114,""zh"",""en""),"""")"),"Notice")</f>
        <v>Notice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 t="s">
        <v>115</v>
      </c>
      <c r="C115" s="2" t="str">
        <f>IFERROR(__xludf.DUMMYFUNCTION("IF(B115&lt;&gt;"""",GOOGLETRANSLATE(B115,""zh"",""zh-TW""),"""")"),"賺錢")</f>
        <v>賺錢</v>
      </c>
      <c r="D115" s="4" t="str">
        <f>IFERROR(__xludf.DUMMYFUNCTION("IF(B115&lt;&gt;"""",GOOGLETRANSLATE(B115,""zh"",""en""),"""")"),"make money")</f>
        <v>make money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 t="s">
        <v>116</v>
      </c>
      <c r="C116" s="2" t="str">
        <f>IFERROR(__xludf.DUMMYFUNCTION("IF(B116&lt;&gt;"""",GOOGLETRANSLATE(B116,""zh"",""zh-TW""),"""")"),"存錢")</f>
        <v>存錢</v>
      </c>
      <c r="D116" s="4" t="str">
        <f>IFERROR(__xludf.DUMMYFUNCTION("IF(B116&lt;&gt;"""",GOOGLETRANSLATE(B116,""zh"",""en""),"""")"),"Save money")</f>
        <v>Save money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 t="s">
        <v>117</v>
      </c>
      <c r="C117" s="2" t="str">
        <f>IFERROR(__xludf.DUMMYFUNCTION("IF(B117&lt;&gt;"""",GOOGLETRANSLATE(B117,""zh"",""zh-TW""),"""")"),"提供")</f>
        <v>提供</v>
      </c>
      <c r="D117" s="4" t="str">
        <f>IFERROR(__xludf.DUMMYFUNCTION("IF(B117&lt;&gt;"""",GOOGLETRANSLATE(B117,""zh"",""en""),"""")"),"supply")</f>
        <v>supply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 t="s">
        <v>118</v>
      </c>
      <c r="C118" s="2" t="str">
        <f>IFERROR(__xludf.DUMMYFUNCTION("IF(B118&lt;&gt;"""",GOOGLETRANSLATE(B118,""zh"",""zh-TW""),"""")"),"城市化")</f>
        <v>城市化</v>
      </c>
      <c r="D118" s="4" t="str">
        <f>IFERROR(__xludf.DUMMYFUNCTION("IF(B118&lt;&gt;"""",GOOGLETRANSLATE(B118,""zh"",""en""),"""")"),"Urbanization")</f>
        <v>Urbanization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 t="s">
        <v>119</v>
      </c>
      <c r="C119" s="2" t="str">
        <f>IFERROR(__xludf.DUMMYFUNCTION("IF(B119&lt;&gt;"""",GOOGLETRANSLATE(B119,""zh"",""zh-TW""),"""")"),"人口密集")</f>
        <v>人口密集</v>
      </c>
      <c r="D119" s="4" t="str">
        <f>IFERROR(__xludf.DUMMYFUNCTION("IF(B119&lt;&gt;"""",GOOGLETRANSLATE(B119,""zh"",""en""),"""")"),"Population")</f>
        <v>Population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 t="s">
        <v>120</v>
      </c>
      <c r="C120" s="2" t="str">
        <f>IFERROR(__xludf.DUMMYFUNCTION("IF(B120&lt;&gt;"""",GOOGLETRANSLATE(B120,""zh"",""zh-TW""),"""")"),"集中")</f>
        <v>集中</v>
      </c>
      <c r="D120" s="4" t="str">
        <f>IFERROR(__xludf.DUMMYFUNCTION("IF(B120&lt;&gt;"""",GOOGLETRANSLATE(B120,""zh"",""en""),"""")"),"concentrated")</f>
        <v>concentrated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 t="s">
        <v>121</v>
      </c>
      <c r="C121" s="2" t="str">
        <f>IFERROR(__xludf.DUMMYFUNCTION("IF(B121&lt;&gt;"""",GOOGLETRANSLATE(B121,""zh"",""zh-TW""),"""")"),"新興，新型")</f>
        <v>新興，新型</v>
      </c>
      <c r="D121" s="4" t="str">
        <f>IFERROR(__xludf.DUMMYFUNCTION("IF(B121&lt;&gt;"""",GOOGLETRANSLATE(B121,""zh"",""en""),"""")"),"Emerging, new model")</f>
        <v>Emerging, new model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 t="s">
        <v>122</v>
      </c>
      <c r="C122" s="2" t="str">
        <f>IFERROR(__xludf.DUMMYFUNCTION("IF(B122&lt;&gt;"""",GOOGLETRANSLATE(B122,""zh"",""zh-TW""),"""")"),"老舊")</f>
        <v>老舊</v>
      </c>
      <c r="D122" s="4" t="str">
        <f>IFERROR(__xludf.DUMMYFUNCTION("IF(B122&lt;&gt;"""",GOOGLETRANSLATE(B122,""zh"",""en""),"""")"),"Old")</f>
        <v>Old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 t="s">
        <v>123</v>
      </c>
      <c r="C123" s="2" t="str">
        <f>IFERROR(__xludf.DUMMYFUNCTION("IF(B123&lt;&gt;"""",GOOGLETRANSLATE(B123,""zh"",""zh-TW""),"""")"),"恐怕")</f>
        <v>恐怕</v>
      </c>
      <c r="D123" s="4" t="str">
        <f>IFERROR(__xludf.DUMMYFUNCTION("IF(B123&lt;&gt;"""",GOOGLETRANSLATE(B123,""zh"",""en""),"""")"),"I am afraid")</f>
        <v>I am afraid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 t="s">
        <v>124</v>
      </c>
      <c r="C124" s="2" t="str">
        <f>IFERROR(__xludf.DUMMYFUNCTION("IF(B124&lt;&gt;"""",GOOGLETRANSLATE(B124,""zh"",""zh-TW""),"""")"),"接近")</f>
        <v>接近</v>
      </c>
      <c r="D124" s="4" t="str">
        <f>IFERROR(__xludf.DUMMYFUNCTION("IF(B124&lt;&gt;"""",GOOGLETRANSLATE(B124,""zh"",""en""),"""")"),"near")</f>
        <v>near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 t="s">
        <v>125</v>
      </c>
      <c r="C125" s="2" t="str">
        <f>IFERROR(__xludf.DUMMYFUNCTION("IF(B125&lt;&gt;"""",GOOGLETRANSLATE(B125,""zh"",""zh-TW""),"""")"),"跌")</f>
        <v>跌</v>
      </c>
      <c r="D125" s="4" t="str">
        <f>IFERROR(__xludf.DUMMYFUNCTION("IF(B125&lt;&gt;"""",GOOGLETRANSLATE(B125,""zh"",""en""),"""")"),"fall")</f>
        <v>fall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 t="s">
        <v>126</v>
      </c>
      <c r="C126" s="2" t="str">
        <f>IFERROR(__xludf.DUMMYFUNCTION("IF(B126&lt;&gt;"""",GOOGLETRANSLATE(B126,""zh"",""zh-TW""),"""")"),"摔")</f>
        <v>摔</v>
      </c>
      <c r="D126" s="4" t="str">
        <f>IFERROR(__xludf.DUMMYFUNCTION("IF(B126&lt;&gt;"""",GOOGLETRANSLATE(B126,""zh"",""en""),"""")"),"fall")</f>
        <v>fall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 t="s">
        <v>127</v>
      </c>
      <c r="C127" s="2" t="str">
        <f>IFERROR(__xludf.DUMMYFUNCTION("IF(B127&lt;&gt;"""",GOOGLETRANSLATE(B127,""zh"",""zh-TW""),"""")"),"退休")</f>
        <v>退休</v>
      </c>
      <c r="D127" s="4" t="str">
        <f>IFERROR(__xludf.DUMMYFUNCTION("IF(B127&lt;&gt;"""",GOOGLETRANSLATE(B127,""zh"",""en""),"""")"),"retire")</f>
        <v>retire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 t="s">
        <v>128</v>
      </c>
      <c r="C128" s="2" t="str">
        <f>IFERROR(__xludf.DUMMYFUNCTION("IF(B128&lt;&gt;"""",GOOGLETRANSLATE(B128,""zh"",""zh-TW""),"""")"),"老齡化")</f>
        <v>老齡化</v>
      </c>
      <c r="D128" s="4" t="str">
        <f>IFERROR(__xludf.DUMMYFUNCTION("IF(B128&lt;&gt;"""",GOOGLETRANSLATE(B128,""zh"",""en""),"""")"),"Aging")</f>
        <v>Aging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