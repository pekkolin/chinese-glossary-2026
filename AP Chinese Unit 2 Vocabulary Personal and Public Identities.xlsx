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me 2 Identities" sheetId="1" r:id="rId4"/>
  </sheets>
  <definedNames/>
  <calcPr/>
  <extLst>
    <ext uri="GoogleSheetsCustomDataVersion2">
      <go:sheetsCustomData xmlns:go="http://customooxmlschemas.google.com/" r:id="rId5" roundtripDataChecksum="K/dJ5JvNNlwO97PUBKVsH552s1dSbiZcEK5tenZJd3Y="/>
    </ext>
  </extLst>
</workbook>
</file>

<file path=xl/sharedStrings.xml><?xml version="1.0" encoding="utf-8"?>
<sst xmlns="http://schemas.openxmlformats.org/spreadsheetml/2006/main" count="143" uniqueCount="142">
  <si>
    <t xml:space="preserve">Feel free to catelogue the vocabulary in your preferred ways, such as by subjects, by occupation, by personalities, etc. </t>
  </si>
  <si>
    <t>家庭 （拼音）</t>
  </si>
  <si>
    <t>中文简体</t>
  </si>
  <si>
    <t>中文繁体</t>
  </si>
  <si>
    <t>英文</t>
  </si>
  <si>
    <t>背景</t>
  </si>
  <si>
    <t>表现</t>
  </si>
  <si>
    <t>博士</t>
  </si>
  <si>
    <t>不断</t>
  </si>
  <si>
    <t>参加</t>
  </si>
  <si>
    <t>参观</t>
  </si>
  <si>
    <t>成功</t>
  </si>
  <si>
    <t>成绩</t>
  </si>
  <si>
    <t>成为</t>
  </si>
  <si>
    <t>成人</t>
  </si>
  <si>
    <t>大人</t>
  </si>
  <si>
    <t>读书</t>
  </si>
  <si>
    <t>队员</t>
  </si>
  <si>
    <t>标准</t>
  </si>
  <si>
    <t>教授</t>
  </si>
  <si>
    <t>留学生</t>
  </si>
  <si>
    <t xml:space="preserve">奖学金                                                                                                                                                                                                </t>
  </si>
  <si>
    <t>硕士</t>
  </si>
  <si>
    <t>性格</t>
  </si>
  <si>
    <t>学分</t>
  </si>
  <si>
    <t>学位</t>
  </si>
  <si>
    <t>病人</t>
  </si>
  <si>
    <t>老师/教师</t>
  </si>
  <si>
    <t>服务员</t>
  </si>
  <si>
    <t>飞行员</t>
  </si>
  <si>
    <t>工程师</t>
  </si>
  <si>
    <t>律师</t>
  </si>
  <si>
    <t>师傅</t>
  </si>
  <si>
    <t>条件</t>
  </si>
  <si>
    <t>部</t>
  </si>
  <si>
    <t>出版</t>
  </si>
  <si>
    <t>高中</t>
  </si>
  <si>
    <t>卡拉OK</t>
  </si>
  <si>
    <t>科</t>
  </si>
  <si>
    <t>民族</t>
  </si>
  <si>
    <t>人材</t>
  </si>
  <si>
    <t>系</t>
  </si>
  <si>
    <t>小学</t>
  </si>
  <si>
    <t>校内</t>
  </si>
  <si>
    <t>校外</t>
  </si>
  <si>
    <t>研究</t>
  </si>
  <si>
    <t>研究生</t>
  </si>
  <si>
    <t>银行</t>
  </si>
  <si>
    <t>英语</t>
  </si>
  <si>
    <t>哲学</t>
  </si>
  <si>
    <t>政府</t>
  </si>
  <si>
    <t>发展</t>
  </si>
  <si>
    <t>翻译</t>
  </si>
  <si>
    <t>感觉</t>
  </si>
  <si>
    <t>感情</t>
  </si>
  <si>
    <t>钢琴</t>
  </si>
  <si>
    <t>工学院</t>
  </si>
  <si>
    <t>公共场所</t>
  </si>
  <si>
    <t>公平</t>
  </si>
  <si>
    <t>贡献</t>
  </si>
  <si>
    <t>管</t>
  </si>
  <si>
    <t>管理学院</t>
  </si>
  <si>
    <t>冠军</t>
  </si>
  <si>
    <t>规定</t>
  </si>
  <si>
    <t>国家</t>
  </si>
  <si>
    <t>国外</t>
  </si>
  <si>
    <t>海龟</t>
  </si>
  <si>
    <t>海外</t>
  </si>
  <si>
    <t>皇帝</t>
  </si>
  <si>
    <t>基础</t>
  </si>
  <si>
    <t>机会</t>
  </si>
  <si>
    <t>计时</t>
  </si>
  <si>
    <t>骄傲</t>
  </si>
  <si>
    <t>教育</t>
  </si>
  <si>
    <t>接受</t>
  </si>
  <si>
    <t>经理</t>
  </si>
  <si>
    <t>开朗</t>
  </si>
  <si>
    <t>考虑</t>
  </si>
  <si>
    <t>可靠</t>
  </si>
  <si>
    <t>可怕</t>
  </si>
  <si>
    <t>跨国</t>
  </si>
  <si>
    <t>老百姓</t>
  </si>
  <si>
    <t>老外</t>
  </si>
  <si>
    <t>厉害</t>
  </si>
  <si>
    <t>历史</t>
  </si>
  <si>
    <t>录用</t>
  </si>
  <si>
    <t>录取</t>
  </si>
  <si>
    <t>落伍</t>
  </si>
  <si>
    <t>满意</t>
  </si>
  <si>
    <t>面积</t>
  </si>
  <si>
    <t>陌生</t>
  </si>
  <si>
    <t>墨西哥</t>
  </si>
  <si>
    <t>农村</t>
  </si>
  <si>
    <t>欧洲</t>
  </si>
  <si>
    <t>事业</t>
  </si>
  <si>
    <t>毕业</t>
  </si>
  <si>
    <t>情况</t>
  </si>
  <si>
    <t>缺点</t>
  </si>
  <si>
    <t>上班</t>
  </si>
  <si>
    <t>申请</t>
  </si>
  <si>
    <t>顺利</t>
  </si>
  <si>
    <t>说服</t>
  </si>
  <si>
    <t>讨论</t>
  </si>
  <si>
    <t>讨厌</t>
  </si>
  <si>
    <t>提(高)</t>
  </si>
  <si>
    <t>推销</t>
  </si>
  <si>
    <t>望子成龙</t>
  </si>
  <si>
    <t>望女成凤</t>
  </si>
  <si>
    <t>伟大</t>
  </si>
  <si>
    <t>体贴</t>
  </si>
  <si>
    <t>习惯</t>
  </si>
  <si>
    <t>吓人</t>
  </si>
  <si>
    <t>嫌</t>
  </si>
  <si>
    <t>相信</t>
  </si>
  <si>
    <t>想法</t>
  </si>
  <si>
    <t>新生</t>
  </si>
  <si>
    <t>选择</t>
  </si>
  <si>
    <t>学有所成</t>
  </si>
  <si>
    <t>压力</t>
  </si>
  <si>
    <t>一干二净</t>
  </si>
  <si>
    <t>优秀</t>
  </si>
  <si>
    <t>优点</t>
  </si>
  <si>
    <t>幽默</t>
  </si>
  <si>
    <t>友谊</t>
  </si>
  <si>
    <t>真心</t>
  </si>
  <si>
    <t>着急</t>
  </si>
  <si>
    <t>整天</t>
  </si>
  <si>
    <t>知音</t>
  </si>
  <si>
    <t>职业</t>
  </si>
  <si>
    <t>重男轻女</t>
  </si>
  <si>
    <t>重视</t>
  </si>
  <si>
    <t>众人</t>
  </si>
  <si>
    <t>自由</t>
  </si>
  <si>
    <t>做法</t>
  </si>
  <si>
    <t>碰见</t>
  </si>
  <si>
    <t>活力</t>
  </si>
  <si>
    <t>倍</t>
  </si>
  <si>
    <t>态度</t>
  </si>
  <si>
    <t>提条件</t>
  </si>
  <si>
    <t>心事</t>
  </si>
  <si>
    <t>心情</t>
  </si>
  <si>
    <t>影响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</si>
</sst>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9.0"/>
      <color rgb="FF000000"/>
      <name val="&quot;Google Sans Mono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1" numFmtId="0" xfId="0" applyAlignment="1" applyFont="1">
      <alignment shrinkToFit="0" wrapText="1"/>
    </xf>
    <xf borderId="0" fillId="2" fontId="1" numFmtId="0" xfId="0" applyFont="1"/>
    <xf borderId="0" fillId="2" fontId="1" numFmtId="0" xfId="0" applyAlignment="1" applyFont="1">
      <alignment vertical="bottom"/>
    </xf>
    <xf borderId="0" fillId="0" fontId="1" numFmtId="0" xfId="0" applyFont="1"/>
    <xf borderId="0" fillId="3" fontId="2" numFmtId="0" xfId="0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2.63"/>
    <col customWidth="1" min="3" max="3" width="15.13"/>
    <col customWidth="1" min="4" max="4" width="24.88"/>
    <col customWidth="1" min="5" max="7" width="12.63"/>
  </cols>
  <sheetData>
    <row r="1" ht="15.7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1</v>
      </c>
      <c r="B2" s="4" t="s">
        <v>2</v>
      </c>
      <c r="C2" s="4" t="s">
        <v>3</v>
      </c>
      <c r="D2" s="4" t="s">
        <v>4</v>
      </c>
    </row>
    <row r="3" ht="15.75" customHeight="1">
      <c r="B3" s="5" t="s">
        <v>5</v>
      </c>
      <c r="C3" s="6" t="str">
        <f>IFERROR(__xludf.DUMMYFUNCTION("IF(B3&lt;&gt;"""",GOOGLETRANSLATE(B3,""zh"",""zh-TW""),"""")"),"背景")</f>
        <v>背景</v>
      </c>
      <c r="D3" s="7" t="str">
        <f>IFERROR(__xludf.DUMMYFUNCTION("IF(B3&lt;&gt;"""",GOOGLETRANSLATE(B3,""zh"",""en""),"""")"),"background")</f>
        <v>background</v>
      </c>
    </row>
    <row r="4" ht="15.75" customHeight="1">
      <c r="B4" s="5" t="s">
        <v>6</v>
      </c>
      <c r="C4" s="6" t="str">
        <f>IFERROR(__xludf.DUMMYFUNCTION("IF(B4&lt;&gt;"""",GOOGLETRANSLATE(B4,""zh"",""zh-TW""),"""")"),"表現")</f>
        <v>表現</v>
      </c>
      <c r="D4" s="7" t="str">
        <f>IFERROR(__xludf.DUMMYFUNCTION("IF(B4&lt;&gt;"""",GOOGLETRANSLATE(B4,""zh"",""en""),"""")"),"Performance")</f>
        <v>Performance</v>
      </c>
    </row>
    <row r="5" ht="15.75" customHeight="1">
      <c r="B5" s="5" t="s">
        <v>7</v>
      </c>
      <c r="C5" s="6" t="str">
        <f>IFERROR(__xludf.DUMMYFUNCTION("IF(B5&lt;&gt;"""",GOOGLETRANSLATE(B5,""zh"",""zh-TW""),"""")"),"博士")</f>
        <v>博士</v>
      </c>
      <c r="D5" s="7" t="str">
        <f>IFERROR(__xludf.DUMMYFUNCTION("IF(B5&lt;&gt;"""",GOOGLETRANSLATE(B5,""zh"",""en""),"""")"),"PhD")</f>
        <v>PhD</v>
      </c>
    </row>
    <row r="6" ht="15.75" customHeight="1">
      <c r="B6" s="5" t="s">
        <v>8</v>
      </c>
      <c r="C6" s="6" t="str">
        <f>IFERROR(__xludf.DUMMYFUNCTION("IF(B6&lt;&gt;"""",GOOGLETRANSLATE(B6,""zh"",""zh-TW""),"""")"),"不斷")</f>
        <v>不斷</v>
      </c>
      <c r="D6" s="7" t="str">
        <f>IFERROR(__xludf.DUMMYFUNCTION("IF(B6&lt;&gt;"""",GOOGLETRANSLATE(B6,""zh"",""en""),"""")"),"Constant")</f>
        <v>Constant</v>
      </c>
    </row>
    <row r="7" ht="15.75" customHeight="1">
      <c r="B7" s="5" t="s">
        <v>9</v>
      </c>
      <c r="C7" s="6" t="str">
        <f>IFERROR(__xludf.DUMMYFUNCTION("IF(B7&lt;&gt;"""",GOOGLETRANSLATE(B7,""zh"",""zh-TW""),"""")"),"參加")</f>
        <v>參加</v>
      </c>
      <c r="D7" s="7" t="str">
        <f>IFERROR(__xludf.DUMMYFUNCTION("IF(B7&lt;&gt;"""",GOOGLETRANSLATE(B7,""zh"",""en""),"""")"),"join")</f>
        <v>join</v>
      </c>
    </row>
    <row r="8" ht="15.75" customHeight="1">
      <c r="B8" s="5" t="s">
        <v>10</v>
      </c>
      <c r="C8" s="6" t="str">
        <f>IFERROR(__xludf.DUMMYFUNCTION("IF(B8&lt;&gt;"""",GOOGLETRANSLATE(B8,""zh"",""zh-TW""),"""")"),"參觀")</f>
        <v>參觀</v>
      </c>
      <c r="D8" s="7" t="str">
        <f>IFERROR(__xludf.DUMMYFUNCTION("IF(B8&lt;&gt;"""",GOOGLETRANSLATE(B8,""zh"",""en""),"""")"),"visit")</f>
        <v>visit</v>
      </c>
    </row>
    <row r="9" ht="15.75" customHeight="1">
      <c r="B9" s="5" t="s">
        <v>11</v>
      </c>
      <c r="C9" s="6" t="str">
        <f>IFERROR(__xludf.DUMMYFUNCTION("IF(B9&lt;&gt;"""",GOOGLETRANSLATE(B9,""zh"",""zh-TW""),"""")"),"成功")</f>
        <v>成功</v>
      </c>
      <c r="D9" s="7" t="str">
        <f>IFERROR(__xludf.DUMMYFUNCTION("IF(B9&lt;&gt;"""",GOOGLETRANSLATE(B9,""zh"",""en""),"""")"),"success")</f>
        <v>success</v>
      </c>
    </row>
    <row r="10" ht="15.75" customHeight="1">
      <c r="B10" s="5" t="s">
        <v>12</v>
      </c>
      <c r="C10" s="6" t="str">
        <f>IFERROR(__xludf.DUMMYFUNCTION("IF(B10&lt;&gt;"""",GOOGLETRANSLATE(B10,""zh"",""zh-TW""),"""")"),"成績")</f>
        <v>成績</v>
      </c>
      <c r="D10" s="7" t="str">
        <f>IFERROR(__xludf.DUMMYFUNCTION("IF(B10&lt;&gt;"""",GOOGLETRANSLATE(B10,""zh"",""en""),"""")"),"score")</f>
        <v>score</v>
      </c>
    </row>
    <row r="11" ht="15.75" customHeight="1">
      <c r="B11" s="5" t="s">
        <v>13</v>
      </c>
      <c r="C11" s="6" t="str">
        <f>IFERROR(__xludf.DUMMYFUNCTION("IF(B11&lt;&gt;"""",GOOGLETRANSLATE(B11,""zh"",""zh-TW""),"""")"),"成為")</f>
        <v>成為</v>
      </c>
      <c r="D11" s="7" t="str">
        <f>IFERROR(__xludf.DUMMYFUNCTION("IF(B11&lt;&gt;"""",GOOGLETRANSLATE(B11,""zh"",""en""),"""")"),"become")</f>
        <v>become</v>
      </c>
    </row>
    <row r="12" ht="15.75" customHeight="1">
      <c r="B12" s="5" t="s">
        <v>14</v>
      </c>
      <c r="C12" s="6" t="str">
        <f>IFERROR(__xludf.DUMMYFUNCTION("IF(B12&lt;&gt;"""",GOOGLETRANSLATE(B12,""zh"",""zh-TW""),"""")"),"成人")</f>
        <v>成人</v>
      </c>
      <c r="D12" s="7" t="str">
        <f>IFERROR(__xludf.DUMMYFUNCTION("IF(B12&lt;&gt;"""",GOOGLETRANSLATE(B12,""zh"",""en""),"""")"),"aldult")</f>
        <v>aldult</v>
      </c>
    </row>
    <row r="13" ht="15.75" customHeight="1">
      <c r="B13" s="5" t="s">
        <v>15</v>
      </c>
      <c r="C13" s="6" t="str">
        <f>IFERROR(__xludf.DUMMYFUNCTION("IF(B13&lt;&gt;"""",GOOGLETRANSLATE(B13,""zh"",""zh-TW""),"""")"),"大人")</f>
        <v>大人</v>
      </c>
      <c r="D13" s="7" t="str">
        <f>IFERROR(__xludf.DUMMYFUNCTION("IF(B13&lt;&gt;"""",GOOGLETRANSLATE(B13,""zh"",""en""),"""")"),"grown ups")</f>
        <v>grown ups</v>
      </c>
    </row>
    <row r="14" ht="15.75" customHeight="1">
      <c r="B14" s="5" t="s">
        <v>16</v>
      </c>
      <c r="C14" s="6" t="str">
        <f>IFERROR(__xludf.DUMMYFUNCTION("IF(B14&lt;&gt;"""",GOOGLETRANSLATE(B14,""zh"",""zh-TW""),"""")"),"讀書")</f>
        <v>讀書</v>
      </c>
      <c r="D14" s="7" t="str">
        <f>IFERROR(__xludf.DUMMYFUNCTION("IF(B14&lt;&gt;"""",GOOGLETRANSLATE(B14,""zh"",""en""),"""")"),"read")</f>
        <v>read</v>
      </c>
    </row>
    <row r="15" ht="15.75" customHeight="1">
      <c r="B15" s="5" t="s">
        <v>17</v>
      </c>
      <c r="C15" s="6" t="str">
        <f>IFERROR(__xludf.DUMMYFUNCTION("IF(B15&lt;&gt;"""",GOOGLETRANSLATE(B15,""zh"",""zh-TW""),"""")"),"隊員")</f>
        <v>隊員</v>
      </c>
      <c r="D15" s="7" t="str">
        <f>IFERROR(__xludf.DUMMYFUNCTION("IF(B15&lt;&gt;"""",GOOGLETRANSLATE(B15,""zh"",""en""),"""")"),"Player")</f>
        <v>Player</v>
      </c>
    </row>
    <row r="16" ht="15.75" customHeight="1">
      <c r="B16" s="5" t="s">
        <v>18</v>
      </c>
      <c r="C16" s="6" t="str">
        <f>IFERROR(__xludf.DUMMYFUNCTION("IF(B16&lt;&gt;"""",GOOGLETRANSLATE(B16,""zh"",""zh-TW""),"""")"),"標準")</f>
        <v>標準</v>
      </c>
      <c r="D16" s="7" t="str">
        <f>IFERROR(__xludf.DUMMYFUNCTION("IF(B16&lt;&gt;"""",GOOGLETRANSLATE(B16,""zh"",""en""),"""")"),"standard")</f>
        <v>standard</v>
      </c>
    </row>
    <row r="17" ht="15.75" customHeight="1">
      <c r="B17" s="5" t="s">
        <v>19</v>
      </c>
      <c r="C17" s="6" t="str">
        <f>IFERROR(__xludf.DUMMYFUNCTION("IF(B17&lt;&gt;"""",GOOGLETRANSLATE(B17,""zh"",""zh-TW""),"""")"),"教授")</f>
        <v>教授</v>
      </c>
      <c r="D17" s="7" t="str">
        <f>IFERROR(__xludf.DUMMYFUNCTION("IF(B17&lt;&gt;"""",GOOGLETRANSLATE(B17,""zh"",""en""),"""")"),"professor")</f>
        <v>professor</v>
      </c>
    </row>
    <row r="18" ht="15.75" customHeight="1">
      <c r="B18" s="5" t="s">
        <v>20</v>
      </c>
      <c r="C18" s="6" t="str">
        <f>IFERROR(__xludf.DUMMYFUNCTION("IF(B18&lt;&gt;"""",GOOGLETRANSLATE(B18,""zh"",""zh-TW""),"""")"),"留學生")</f>
        <v>留學生</v>
      </c>
      <c r="D18" s="7" t="str">
        <f>IFERROR(__xludf.DUMMYFUNCTION("IF(B18&lt;&gt;"""",GOOGLETRANSLATE(B18,""zh"",""en""),"""")"),"Abroad student")</f>
        <v>Abroad student</v>
      </c>
    </row>
    <row r="19" ht="15.75" customHeight="1">
      <c r="B19" s="5" t="s">
        <v>21</v>
      </c>
      <c r="C19" s="6" t="str">
        <f>IFERROR(__xludf.DUMMYFUNCTION("IF(B19&lt;&gt;"""",GOOGLETRANSLATE(B19,""zh"",""zh-TW""),"""")"),"獎學金                                                                                                                                                                                                ")</f>
        <v>獎學金                                                                                                                                                                                                </v>
      </c>
      <c r="D19" s="7" t="str">
        <f>IFERROR(__xludf.DUMMYFUNCTION("IF(B19&lt;&gt;"""",GOOGLETRANSLATE(B19,""zh"",""en""),"""")"),"Scholarship")</f>
        <v>Scholarship</v>
      </c>
    </row>
    <row r="20" ht="15.75" customHeight="1">
      <c r="B20" s="5" t="s">
        <v>22</v>
      </c>
      <c r="C20" s="6" t="str">
        <f>IFERROR(__xludf.DUMMYFUNCTION("IF(B20&lt;&gt;"""",GOOGLETRANSLATE(B20,""zh"",""zh-TW""),"""")"),"碩士")</f>
        <v>碩士</v>
      </c>
      <c r="D20" s="7" t="str">
        <f>IFERROR(__xludf.DUMMYFUNCTION("IF(B20&lt;&gt;"""",GOOGLETRANSLATE(B20,""zh"",""en""),"""")"),"master")</f>
        <v>master</v>
      </c>
    </row>
    <row r="21" ht="15.75" customHeight="1">
      <c r="B21" s="5" t="s">
        <v>23</v>
      </c>
      <c r="C21" s="6" t="str">
        <f>IFERROR(__xludf.DUMMYFUNCTION("IF(B21&lt;&gt;"""",GOOGLETRANSLATE(B21,""zh"",""zh-TW""),"""")"),"性格")</f>
        <v>性格</v>
      </c>
      <c r="D21" s="7" t="str">
        <f>IFERROR(__xludf.DUMMYFUNCTION("IF(B21&lt;&gt;"""",GOOGLETRANSLATE(B21,""zh"",""en""),"""")"),"character")</f>
        <v>character</v>
      </c>
    </row>
    <row r="22" ht="15.75" customHeight="1">
      <c r="B22" s="5" t="s">
        <v>24</v>
      </c>
      <c r="C22" s="6" t="str">
        <f>IFERROR(__xludf.DUMMYFUNCTION("IF(B22&lt;&gt;"""",GOOGLETRANSLATE(B22,""zh"",""zh-TW""),"""")"),"學分")</f>
        <v>學分</v>
      </c>
      <c r="D22" s="7" t="str">
        <f>IFERROR(__xludf.DUMMYFUNCTION("IF(B22&lt;&gt;"""",GOOGLETRANSLATE(B22,""zh"",""en""),"""")"),"credit")</f>
        <v>credit</v>
      </c>
    </row>
    <row r="23" ht="15.75" customHeight="1">
      <c r="B23" s="5" t="s">
        <v>25</v>
      </c>
      <c r="C23" s="6" t="str">
        <f>IFERROR(__xludf.DUMMYFUNCTION("IF(B23&lt;&gt;"""",GOOGLETRANSLATE(B23,""zh"",""zh-TW""),"""")"),"學位")</f>
        <v>學位</v>
      </c>
      <c r="D23" s="7" t="str">
        <f>IFERROR(__xludf.DUMMYFUNCTION("IF(B23&lt;&gt;"""",GOOGLETRANSLATE(B23,""zh"",""en""),"""")"),"Bachelor of Science")</f>
        <v>Bachelor of Science</v>
      </c>
    </row>
    <row r="24" ht="15.75" customHeight="1">
      <c r="B24" s="5" t="s">
        <v>26</v>
      </c>
      <c r="C24" s="6" t="str">
        <f>IFERROR(__xludf.DUMMYFUNCTION("IF(B24&lt;&gt;"""",GOOGLETRANSLATE(B24,""zh"",""zh-TW""),"""")"),"病人")</f>
        <v>病人</v>
      </c>
      <c r="D24" s="7" t="str">
        <f>IFERROR(__xludf.DUMMYFUNCTION("IF(B24&lt;&gt;"""",GOOGLETRANSLATE(B24,""zh"",""en""),"""")"),"patient")</f>
        <v>patient</v>
      </c>
    </row>
    <row r="25" ht="15.75" customHeight="1">
      <c r="B25" s="5" t="s">
        <v>27</v>
      </c>
      <c r="C25" s="6" t="str">
        <f>IFERROR(__xludf.DUMMYFUNCTION("IF(B25&lt;&gt;"""",GOOGLETRANSLATE(B25,""zh"",""zh-TW""),"""")"),"老師/教師")</f>
        <v>老師/教師</v>
      </c>
      <c r="D25" s="7" t="str">
        <f>IFERROR(__xludf.DUMMYFUNCTION("IF(B25&lt;&gt;"""",GOOGLETRANSLATE(B25,""zh"",""en""),"""")"),"Teacher/teacher")</f>
        <v>Teacher/teacher</v>
      </c>
    </row>
    <row r="26" ht="15.75" customHeight="1">
      <c r="B26" s="5" t="s">
        <v>28</v>
      </c>
      <c r="C26" s="6" t="str">
        <f>IFERROR(__xludf.DUMMYFUNCTION("IF(B26&lt;&gt;"""",GOOGLETRANSLATE(B26,""zh"",""zh-TW""),"""")"),"服務生")</f>
        <v>服務生</v>
      </c>
      <c r="D26" s="7" t="str">
        <f>IFERROR(__xludf.DUMMYFUNCTION("IF(B26&lt;&gt;"""",GOOGLETRANSLATE(B26,""zh"",""en""),"""")"),"waiter")</f>
        <v>waiter</v>
      </c>
    </row>
    <row r="27" ht="15.75" customHeight="1">
      <c r="B27" s="5" t="s">
        <v>29</v>
      </c>
      <c r="C27" s="6" t="str">
        <f>IFERROR(__xludf.DUMMYFUNCTION("IF(B27&lt;&gt;"""",GOOGLETRANSLATE(B27,""zh"",""zh-TW""),"""")"),"飛行員")</f>
        <v>飛行員</v>
      </c>
      <c r="D27" s="7" t="str">
        <f>IFERROR(__xludf.DUMMYFUNCTION("IF(B27&lt;&gt;"""",GOOGLETRANSLATE(B27,""zh"",""en""),"""")"),"pilot")</f>
        <v>pilot</v>
      </c>
    </row>
    <row r="28" ht="15.75" customHeight="1">
      <c r="B28" s="5" t="s">
        <v>30</v>
      </c>
      <c r="C28" s="6" t="str">
        <f>IFERROR(__xludf.DUMMYFUNCTION("IF(B28&lt;&gt;"""",GOOGLETRANSLATE(B28,""zh"",""zh-TW""),"""")"),"工程師")</f>
        <v>工程師</v>
      </c>
      <c r="D28" s="7" t="str">
        <f>IFERROR(__xludf.DUMMYFUNCTION("IF(B28&lt;&gt;"""",GOOGLETRANSLATE(B28,""zh"",""en""),"""")"),"engineer")</f>
        <v>engineer</v>
      </c>
    </row>
    <row r="29" ht="15.75" customHeight="1">
      <c r="B29" s="5" t="s">
        <v>31</v>
      </c>
      <c r="C29" s="6" t="str">
        <f>IFERROR(__xludf.DUMMYFUNCTION("IF(B29&lt;&gt;"""",GOOGLETRANSLATE(B29,""zh"",""zh-TW""),"""")"),"律師")</f>
        <v>律師</v>
      </c>
      <c r="D29" s="7" t="str">
        <f>IFERROR(__xludf.DUMMYFUNCTION("IF(B29&lt;&gt;"""",GOOGLETRANSLATE(B29,""zh"",""en""),"""")"),"lawyer")</f>
        <v>lawyer</v>
      </c>
    </row>
    <row r="30" ht="15.75" customHeight="1">
      <c r="B30" s="5" t="s">
        <v>32</v>
      </c>
      <c r="C30" s="6" t="str">
        <f>IFERROR(__xludf.DUMMYFUNCTION("IF(B30&lt;&gt;"""",GOOGLETRANSLATE(B30,""zh"",""zh-TW""),"""")"),"師傅")</f>
        <v>師傅</v>
      </c>
      <c r="D30" s="7" t="str">
        <f>IFERROR(__xludf.DUMMYFUNCTION("IF(B30&lt;&gt;"""",GOOGLETRANSLATE(B30,""zh"",""en""),"""")"),"master")</f>
        <v>master</v>
      </c>
    </row>
    <row r="31" ht="15.75" customHeight="1">
      <c r="B31" s="5" t="s">
        <v>33</v>
      </c>
      <c r="C31" s="6" t="str">
        <f>IFERROR(__xludf.DUMMYFUNCTION("IF(B31&lt;&gt;"""",GOOGLETRANSLATE(B31,""zh"",""zh-TW""),"""")"),"條件")</f>
        <v>條件</v>
      </c>
      <c r="D31" s="7" t="str">
        <f>IFERROR(__xludf.DUMMYFUNCTION("IF(B31&lt;&gt;"""",GOOGLETRANSLATE(B31,""zh"",""en""),"""")"),"condition")</f>
        <v>condition</v>
      </c>
    </row>
    <row r="32" ht="15.75" customHeight="1">
      <c r="B32" s="5" t="s">
        <v>34</v>
      </c>
      <c r="C32" s="6" t="str">
        <f>IFERROR(__xludf.DUMMYFUNCTION("IF(B32&lt;&gt;"""",GOOGLETRANSLATE(B32,""zh"",""zh-TW""),"""")"),"部")</f>
        <v>部</v>
      </c>
      <c r="D32" s="7" t="str">
        <f>IFERROR(__xludf.DUMMYFUNCTION("IF(B32&lt;&gt;"""",GOOGLETRANSLATE(B32,""zh"",""en""),"""")"),"department")</f>
        <v>department</v>
      </c>
    </row>
    <row r="33" ht="15.75" customHeight="1">
      <c r="B33" s="5" t="s">
        <v>35</v>
      </c>
      <c r="C33" s="6" t="str">
        <f>IFERROR(__xludf.DUMMYFUNCTION("IF(B33&lt;&gt;"""",GOOGLETRANSLATE(B33,""zh"",""zh-TW""),"""")"),"出版")</f>
        <v>出版</v>
      </c>
      <c r="D33" s="7" t="str">
        <f>IFERROR(__xludf.DUMMYFUNCTION("IF(B33&lt;&gt;"""",GOOGLETRANSLATE(B33,""zh"",""en""),"""")"),"publishing")</f>
        <v>publishing</v>
      </c>
    </row>
    <row r="34" ht="15.75" customHeight="1">
      <c r="B34" s="5" t="s">
        <v>36</v>
      </c>
      <c r="C34" s="6" t="str">
        <f>IFERROR(__xludf.DUMMYFUNCTION("IF(B34&lt;&gt;"""",GOOGLETRANSLATE(B34,""zh"",""zh-TW""),"""")"),"高中")</f>
        <v>高中</v>
      </c>
      <c r="D34" s="7" t="str">
        <f>IFERROR(__xludf.DUMMYFUNCTION("IF(B34&lt;&gt;"""",GOOGLETRANSLATE(B34,""zh"",""en""),"""")"),"high school")</f>
        <v>high school</v>
      </c>
    </row>
    <row r="35" ht="15.75" customHeight="1">
      <c r="B35" s="5" t="s">
        <v>37</v>
      </c>
      <c r="C35" s="6" t="str">
        <f>IFERROR(__xludf.DUMMYFUNCTION("IF(B35&lt;&gt;"""",GOOGLETRANSLATE(B35,""zh"",""zh-TW""),"""")"),"卡拉OK")</f>
        <v>卡拉OK</v>
      </c>
      <c r="D35" s="7" t="str">
        <f>IFERROR(__xludf.DUMMYFUNCTION("IF(B35&lt;&gt;"""",GOOGLETRANSLATE(B35,""zh"",""en""),"""")"),"Karaoke")</f>
        <v>Karaoke</v>
      </c>
    </row>
    <row r="36" ht="15.75" customHeight="1">
      <c r="B36" s="5" t="s">
        <v>38</v>
      </c>
      <c r="C36" s="6" t="str">
        <f>IFERROR(__xludf.DUMMYFUNCTION("IF(B36&lt;&gt;"""",GOOGLETRANSLATE(B36,""zh"",""zh-TW""),"""")"),"科")</f>
        <v>科</v>
      </c>
      <c r="D36" s="7" t="str">
        <f>IFERROR(__xludf.DUMMYFUNCTION("IF(B36&lt;&gt;"""",GOOGLETRANSLATE(B36,""zh"",""en""),"""")"),"division")</f>
        <v>division</v>
      </c>
    </row>
    <row r="37" ht="15.75" customHeight="1">
      <c r="B37" s="5" t="s">
        <v>39</v>
      </c>
      <c r="C37" s="6" t="str">
        <f>IFERROR(__xludf.DUMMYFUNCTION("IF(B37&lt;&gt;"""",GOOGLETRANSLATE(B37,""zh"",""zh-TW""),"""")"),"民族")</f>
        <v>民族</v>
      </c>
      <c r="D37" s="7" t="str">
        <f>IFERROR(__xludf.DUMMYFUNCTION("IF(B37&lt;&gt;"""",GOOGLETRANSLATE(B37,""zh"",""en""),"""")"),"nationality")</f>
        <v>nationality</v>
      </c>
    </row>
    <row r="38" ht="15.75" customHeight="1">
      <c r="B38" s="5" t="s">
        <v>40</v>
      </c>
      <c r="C38" s="6" t="str">
        <f>IFERROR(__xludf.DUMMYFUNCTION("IF(B38&lt;&gt;"""",GOOGLETRANSLATE(B38,""zh"",""zh-TW""),"""")"),"人材")</f>
        <v>人材</v>
      </c>
      <c r="D38" s="7" t="str">
        <f>IFERROR(__xludf.DUMMYFUNCTION("IF(B38&lt;&gt;"""",GOOGLETRANSLATE(B38,""zh"",""en""),"""")"),"Personality")</f>
        <v>Personality</v>
      </c>
    </row>
    <row r="39" ht="15.75" customHeight="1">
      <c r="B39" s="5" t="s">
        <v>41</v>
      </c>
      <c r="C39" s="6" t="str">
        <f>IFERROR(__xludf.DUMMYFUNCTION("IF(B39&lt;&gt;"""",GOOGLETRANSLATE(B39,""zh"",""zh-TW""),"""")"),"系")</f>
        <v>系</v>
      </c>
      <c r="D39" s="7" t="str">
        <f>IFERROR(__xludf.DUMMYFUNCTION("IF(B39&lt;&gt;"""",GOOGLETRANSLATE(B39,""zh"",""en""),"""")"),"Tie")</f>
        <v>Tie</v>
      </c>
    </row>
    <row r="40" ht="15.75" customHeight="1">
      <c r="B40" s="5" t="s">
        <v>42</v>
      </c>
      <c r="C40" s="6" t="str">
        <f>IFERROR(__xludf.DUMMYFUNCTION("IF(B40&lt;&gt;"""",GOOGLETRANSLATE(B40,""zh"",""zh-TW""),"""")"),"小學")</f>
        <v>小學</v>
      </c>
      <c r="D40" s="7" t="str">
        <f>IFERROR(__xludf.DUMMYFUNCTION("IF(B40&lt;&gt;"""",GOOGLETRANSLATE(B40,""zh"",""en""),"""")"),"primary school")</f>
        <v>primary school</v>
      </c>
    </row>
    <row r="41" ht="15.75" customHeight="1">
      <c r="B41" s="5" t="s">
        <v>43</v>
      </c>
      <c r="C41" s="6" t="str">
        <f>IFERROR(__xludf.DUMMYFUNCTION("IF(B41&lt;&gt;"""",GOOGLETRANSLATE(B41,""zh"",""zh-TW""),"""")"),"校內")</f>
        <v>校內</v>
      </c>
      <c r="D41" s="7" t="str">
        <f>IFERROR(__xludf.DUMMYFUNCTION("IF(B41&lt;&gt;"""",GOOGLETRANSLATE(B41,""zh"",""en""),"""")"),"In -school")</f>
        <v>In -school</v>
      </c>
    </row>
    <row r="42" ht="15.75" customHeight="1">
      <c r="B42" s="5" t="s">
        <v>44</v>
      </c>
      <c r="C42" s="6" t="str">
        <f>IFERROR(__xludf.DUMMYFUNCTION("IF(B42&lt;&gt;"""",GOOGLETRANSLATE(B42,""zh"",""zh-TW""),"""")"),"校外")</f>
        <v>校外</v>
      </c>
      <c r="D42" s="7" t="str">
        <f>IFERROR(__xludf.DUMMYFUNCTION("IF(B42&lt;&gt;"""",GOOGLETRANSLATE(B42,""zh"",""en""),"""")"),"Off -campus")</f>
        <v>Off -campus</v>
      </c>
    </row>
    <row r="43" ht="15.75" customHeight="1">
      <c r="B43" s="5" t="s">
        <v>45</v>
      </c>
      <c r="C43" s="6" t="str">
        <f>IFERROR(__xludf.DUMMYFUNCTION("IF(B43&lt;&gt;"""",GOOGLETRANSLATE(B43,""zh"",""zh-TW""),"""")"),"研究")</f>
        <v>研究</v>
      </c>
      <c r="D43" s="7" t="str">
        <f>IFERROR(__xludf.DUMMYFUNCTION("IF(B43&lt;&gt;"""",GOOGLETRANSLATE(B43,""zh"",""en""),"""")"),"Research")</f>
        <v>Research</v>
      </c>
    </row>
    <row r="44" ht="15.75" customHeight="1">
      <c r="B44" s="5" t="s">
        <v>46</v>
      </c>
      <c r="C44" s="6" t="str">
        <f>IFERROR(__xludf.DUMMYFUNCTION("IF(B44&lt;&gt;"""",GOOGLETRANSLATE(B44,""zh"",""zh-TW""),"""")"),"研究生")</f>
        <v>研究生</v>
      </c>
      <c r="D44" s="7" t="str">
        <f>IFERROR(__xludf.DUMMYFUNCTION("IF(B44&lt;&gt;"""",GOOGLETRANSLATE(B44,""zh"",""en""),"""")"),"postgraduate")</f>
        <v>postgraduate</v>
      </c>
    </row>
    <row r="45" ht="15.75" customHeight="1">
      <c r="B45" s="5" t="s">
        <v>47</v>
      </c>
      <c r="C45" s="6" t="str">
        <f>IFERROR(__xludf.DUMMYFUNCTION("IF(B45&lt;&gt;"""",GOOGLETRANSLATE(B45,""zh"",""zh-TW""),"""")"),"銀行")</f>
        <v>銀行</v>
      </c>
      <c r="D45" s="7" t="str">
        <f>IFERROR(__xludf.DUMMYFUNCTION("IF(B45&lt;&gt;"""",GOOGLETRANSLATE(B45,""zh"",""en""),"""")"),"bank")</f>
        <v>bank</v>
      </c>
    </row>
    <row r="46" ht="15.75" customHeight="1">
      <c r="B46" s="5" t="s">
        <v>48</v>
      </c>
      <c r="C46" s="6" t="str">
        <f>IFERROR(__xludf.DUMMYFUNCTION("IF(B46&lt;&gt;"""",GOOGLETRANSLATE(B46,""zh"",""zh-TW""),"""")"),"英語")</f>
        <v>英語</v>
      </c>
      <c r="D46" s="7" t="str">
        <f>IFERROR(__xludf.DUMMYFUNCTION("IF(B46&lt;&gt;"""",GOOGLETRANSLATE(B46,""zh"",""en""),"""")"),"English")</f>
        <v>English</v>
      </c>
    </row>
    <row r="47" ht="15.75" customHeight="1">
      <c r="B47" s="5" t="s">
        <v>49</v>
      </c>
      <c r="C47" s="6" t="str">
        <f>IFERROR(__xludf.DUMMYFUNCTION("IF(B47&lt;&gt;"""",GOOGLETRANSLATE(B47,""zh"",""zh-TW""),"""")"),"哲學")</f>
        <v>哲學</v>
      </c>
      <c r="D47" s="7" t="str">
        <f>IFERROR(__xludf.DUMMYFUNCTION("IF(B47&lt;&gt;"""",GOOGLETRANSLATE(B47,""zh"",""en""),"""")"),"philosophy")</f>
        <v>philosophy</v>
      </c>
    </row>
    <row r="48" ht="15.75" customHeight="1">
      <c r="B48" s="5" t="s">
        <v>50</v>
      </c>
      <c r="C48" s="6" t="str">
        <f>IFERROR(__xludf.DUMMYFUNCTION("IF(B48&lt;&gt;"""",GOOGLETRANSLATE(B48,""zh"",""zh-TW""),"""")"),"政府")</f>
        <v>政府</v>
      </c>
      <c r="D48" s="7" t="str">
        <f>IFERROR(__xludf.DUMMYFUNCTION("IF(B48&lt;&gt;"""",GOOGLETRANSLATE(B48,""zh"",""en""),"""")"),"government")</f>
        <v>government</v>
      </c>
    </row>
    <row r="49" ht="15.75" customHeight="1">
      <c r="B49" s="5" t="s">
        <v>51</v>
      </c>
      <c r="C49" s="6" t="str">
        <f>IFERROR(__xludf.DUMMYFUNCTION("IF(B49&lt;&gt;"""",GOOGLETRANSLATE(B49,""zh"",""zh-TW""),"""")"),"發展")</f>
        <v>發展</v>
      </c>
      <c r="D49" s="7" t="str">
        <f>IFERROR(__xludf.DUMMYFUNCTION("IF(B49&lt;&gt;"""",GOOGLETRANSLATE(B49,""zh"",""en""),"""")"),"develop")</f>
        <v>develop</v>
      </c>
    </row>
    <row r="50" ht="15.75" customHeight="1">
      <c r="B50" s="5" t="s">
        <v>52</v>
      </c>
      <c r="C50" s="6" t="str">
        <f>IFERROR(__xludf.DUMMYFUNCTION("IF(B50&lt;&gt;"""",GOOGLETRANSLATE(B50,""zh"",""zh-TW""),"""")"),"翻譯")</f>
        <v>翻譯</v>
      </c>
      <c r="D50" s="7" t="str">
        <f>IFERROR(__xludf.DUMMYFUNCTION("IF(B50&lt;&gt;"""",GOOGLETRANSLATE(B50,""zh"",""en""),"""")"),"translate")</f>
        <v>translate</v>
      </c>
    </row>
    <row r="51" ht="15.75" customHeight="1">
      <c r="B51" s="5" t="s">
        <v>53</v>
      </c>
      <c r="C51" s="6" t="str">
        <f>IFERROR(__xludf.DUMMYFUNCTION("IF(B51&lt;&gt;"""",GOOGLETRANSLATE(B51,""zh"",""zh-TW""),"""")"),"感覺")</f>
        <v>感覺</v>
      </c>
      <c r="D51" s="7" t="str">
        <f>IFERROR(__xludf.DUMMYFUNCTION("IF(B51&lt;&gt;"""",GOOGLETRANSLATE(B51,""zh"",""en""),"""")"),"Feel")</f>
        <v>Feel</v>
      </c>
    </row>
    <row r="52" ht="15.75" customHeight="1">
      <c r="B52" s="5" t="s">
        <v>54</v>
      </c>
      <c r="C52" s="6" t="str">
        <f>IFERROR(__xludf.DUMMYFUNCTION("IF(B52&lt;&gt;"""",GOOGLETRANSLATE(B52,""zh"",""zh-TW""),"""")"),"感情")</f>
        <v>感情</v>
      </c>
      <c r="D52" s="7" t="str">
        <f>IFERROR(__xludf.DUMMYFUNCTION("IF(B52&lt;&gt;"""",GOOGLETRANSLATE(B52,""zh"",""en""),"""")"),"emotion")</f>
        <v>emotion</v>
      </c>
    </row>
    <row r="53" ht="15.75" customHeight="1">
      <c r="B53" s="5" t="s">
        <v>55</v>
      </c>
      <c r="C53" s="6" t="str">
        <f>IFERROR(__xludf.DUMMYFUNCTION("IF(B53&lt;&gt;"""",GOOGLETRANSLATE(B53,""zh"",""zh-TW""),"""")"),"鋼琴")</f>
        <v>鋼琴</v>
      </c>
      <c r="D53" s="7" t="str">
        <f>IFERROR(__xludf.DUMMYFUNCTION("IF(B53&lt;&gt;"""",GOOGLETRANSLATE(B53,""zh"",""en""),"""")"),"piano")</f>
        <v>piano</v>
      </c>
    </row>
    <row r="54" ht="15.75" customHeight="1">
      <c r="B54" s="5" t="s">
        <v>56</v>
      </c>
      <c r="C54" s="6" t="str">
        <f>IFERROR(__xludf.DUMMYFUNCTION("IF(B54&lt;&gt;"""",GOOGLETRANSLATE(B54,""zh"",""zh-TW""),"""")"),"工學院")</f>
        <v>工學院</v>
      </c>
      <c r="D54" s="7" t="str">
        <f>IFERROR(__xludf.DUMMYFUNCTION("IF(B54&lt;&gt;"""",GOOGLETRANSLATE(B54,""zh"",""en""),"""")"),"College")</f>
        <v>College</v>
      </c>
    </row>
    <row r="55" ht="15.75" customHeight="1">
      <c r="B55" s="5" t="s">
        <v>57</v>
      </c>
      <c r="C55" s="6" t="str">
        <f>IFERROR(__xludf.DUMMYFUNCTION("IF(B55&lt;&gt;"""",GOOGLETRANSLATE(B55,""zh"",""zh-TW""),"""")"),"公共場所")</f>
        <v>公共場所</v>
      </c>
      <c r="D55" s="7" t="str">
        <f>IFERROR(__xludf.DUMMYFUNCTION("IF(B55&lt;&gt;"""",GOOGLETRANSLATE(B55,""zh"",""en""),"""")"),"Public places")</f>
        <v>Public places</v>
      </c>
    </row>
    <row r="56" ht="15.75" customHeight="1">
      <c r="B56" s="5" t="s">
        <v>58</v>
      </c>
      <c r="C56" s="6" t="str">
        <f>IFERROR(__xludf.DUMMYFUNCTION("IF(B56&lt;&gt;"""",GOOGLETRANSLATE(B56,""zh"",""zh-TW""),"""")"),"公平")</f>
        <v>公平</v>
      </c>
      <c r="D56" s="7" t="str">
        <f>IFERROR(__xludf.DUMMYFUNCTION("IF(B56&lt;&gt;"""",GOOGLETRANSLATE(B56,""zh"",""en""),"""")"),"fair")</f>
        <v>fair</v>
      </c>
    </row>
    <row r="57" ht="15.75" customHeight="1">
      <c r="B57" s="5" t="s">
        <v>59</v>
      </c>
      <c r="C57" s="6" t="str">
        <f>IFERROR(__xludf.DUMMYFUNCTION("IF(B57&lt;&gt;"""",GOOGLETRANSLATE(B57,""zh"",""zh-TW""),"""")"),"貢獻")</f>
        <v>貢獻</v>
      </c>
      <c r="D57" s="7" t="str">
        <f>IFERROR(__xludf.DUMMYFUNCTION("IF(B57&lt;&gt;"""",GOOGLETRANSLATE(B57,""zh"",""en""),"""")"),"contribute")</f>
        <v>contribute</v>
      </c>
    </row>
    <row r="58" ht="15.75" customHeight="1">
      <c r="B58" s="5" t="s">
        <v>60</v>
      </c>
      <c r="C58" s="6" t="str">
        <f>IFERROR(__xludf.DUMMYFUNCTION("IF(B58&lt;&gt;"""",GOOGLETRANSLATE(B58,""zh"",""zh-TW""),"""")"),"管")</f>
        <v>管</v>
      </c>
      <c r="D58" s="7" t="str">
        <f>IFERROR(__xludf.DUMMYFUNCTION("IF(B58&lt;&gt;"""",GOOGLETRANSLATE(B58,""zh"",""en""),"""")"),"Tube")</f>
        <v>Tube</v>
      </c>
    </row>
    <row r="59" ht="15.75" customHeight="1">
      <c r="B59" s="5" t="s">
        <v>61</v>
      </c>
      <c r="C59" s="6" t="str">
        <f>IFERROR(__xludf.DUMMYFUNCTION("IF(B59&lt;&gt;"""",GOOGLETRANSLATE(B59,""zh"",""zh-TW""),"""")"),"管理學院")</f>
        <v>管理學院</v>
      </c>
      <c r="D59" s="7" t="str">
        <f>IFERROR(__xludf.DUMMYFUNCTION("IF(B59&lt;&gt;"""",GOOGLETRANSLATE(B59,""zh"",""en""),"""")"),"School of Management")</f>
        <v>School of Management</v>
      </c>
    </row>
    <row r="60" ht="15.75" customHeight="1">
      <c r="B60" s="5" t="s">
        <v>62</v>
      </c>
      <c r="C60" s="6" t="str">
        <f>IFERROR(__xludf.DUMMYFUNCTION("IF(B60&lt;&gt;"""",GOOGLETRANSLATE(B60,""zh"",""zh-TW""),"""")"),"冠軍")</f>
        <v>冠軍</v>
      </c>
      <c r="D60" s="7" t="str">
        <f>IFERROR(__xludf.DUMMYFUNCTION("IF(B60&lt;&gt;"""",GOOGLETRANSLATE(B60,""zh"",""en""),"""")"),"champion")</f>
        <v>champion</v>
      </c>
    </row>
    <row r="61" ht="15.75" customHeight="1">
      <c r="B61" s="5" t="s">
        <v>63</v>
      </c>
      <c r="C61" s="6" t="str">
        <f>IFERROR(__xludf.DUMMYFUNCTION("IF(B61&lt;&gt;"""",GOOGLETRANSLATE(B61,""zh"",""zh-TW""),"""")"),"規定")</f>
        <v>規定</v>
      </c>
      <c r="D61" s="7" t="str">
        <f>IFERROR(__xludf.DUMMYFUNCTION("IF(B61&lt;&gt;"""",GOOGLETRANSLATE(B61,""zh"",""en""),"""")"),"Regulation")</f>
        <v>Regulation</v>
      </c>
    </row>
    <row r="62" ht="15.75" customHeight="1">
      <c r="B62" s="5" t="s">
        <v>64</v>
      </c>
      <c r="C62" s="6" t="str">
        <f>IFERROR(__xludf.DUMMYFUNCTION("IF(B62&lt;&gt;"""",GOOGLETRANSLATE(B62,""zh"",""zh-TW""),"""")"),"國家")</f>
        <v>國家</v>
      </c>
      <c r="D62" s="7" t="str">
        <f>IFERROR(__xludf.DUMMYFUNCTION("IF(B62&lt;&gt;"""",GOOGLETRANSLATE(B62,""zh"",""en""),"""")"),"nation")</f>
        <v>nation</v>
      </c>
    </row>
    <row r="63" ht="15.75" customHeight="1">
      <c r="B63" s="5" t="s">
        <v>65</v>
      </c>
      <c r="C63" s="6" t="str">
        <f>IFERROR(__xludf.DUMMYFUNCTION("IF(B63&lt;&gt;"""",GOOGLETRANSLATE(B63,""zh"",""zh-TW""),"""")"),"國外")</f>
        <v>國外</v>
      </c>
      <c r="D63" s="7" t="str">
        <f>IFERROR(__xludf.DUMMYFUNCTION("IF(B63&lt;&gt;"""",GOOGLETRANSLATE(B63,""zh"",""en""),"""")"),"foreign")</f>
        <v>foreign</v>
      </c>
    </row>
    <row r="64" ht="15.75" customHeight="1">
      <c r="B64" s="5" t="s">
        <v>66</v>
      </c>
      <c r="C64" s="6" t="str">
        <f>IFERROR(__xludf.DUMMYFUNCTION("IF(B64&lt;&gt;"""",GOOGLETRANSLATE(B64,""zh"",""zh-TW""),"""")"),"海龜")</f>
        <v>海龜</v>
      </c>
      <c r="D64" s="7" t="str">
        <f>IFERROR(__xludf.DUMMYFUNCTION("IF(B64&lt;&gt;"""",GOOGLETRANSLATE(B64,""zh"",""en""),"""")"),"Turtle")</f>
        <v>Turtle</v>
      </c>
    </row>
    <row r="65" ht="15.75" customHeight="1">
      <c r="B65" s="5" t="s">
        <v>67</v>
      </c>
      <c r="C65" s="6" t="str">
        <f>IFERROR(__xludf.DUMMYFUNCTION("IF(B65&lt;&gt;"""",GOOGLETRANSLATE(B65,""zh"",""zh-TW""),"""")"),"海外")</f>
        <v>海外</v>
      </c>
      <c r="D65" s="7" t="str">
        <f>IFERROR(__xludf.DUMMYFUNCTION("IF(B65&lt;&gt;"""",GOOGLETRANSLATE(B65,""zh"",""en""),"""")"),"overseas")</f>
        <v>overseas</v>
      </c>
    </row>
    <row r="66" ht="15.75" customHeight="1">
      <c r="B66" s="5" t="s">
        <v>68</v>
      </c>
      <c r="C66" s="6" t="str">
        <f>IFERROR(__xludf.DUMMYFUNCTION("IF(B66&lt;&gt;"""",GOOGLETRANSLATE(B66,""zh"",""zh-TW""),"""")"),"皇帝")</f>
        <v>皇帝</v>
      </c>
      <c r="D66" s="7" t="str">
        <f>IFERROR(__xludf.DUMMYFUNCTION("IF(B66&lt;&gt;"""",GOOGLETRANSLATE(B66,""zh"",""en""),"""")"),"emperor")</f>
        <v>emperor</v>
      </c>
    </row>
    <row r="67" ht="15.75" customHeight="1">
      <c r="B67" s="5" t="s">
        <v>69</v>
      </c>
      <c r="C67" s="6" t="str">
        <f>IFERROR(__xludf.DUMMYFUNCTION("IF(B67&lt;&gt;"""",GOOGLETRANSLATE(B67,""zh"",""zh-TW""),"""")"),"基礎")</f>
        <v>基礎</v>
      </c>
      <c r="D67" s="7" t="str">
        <f>IFERROR(__xludf.DUMMYFUNCTION("IF(B67&lt;&gt;"""",GOOGLETRANSLATE(B67,""zh"",""en""),"""")"),"Base")</f>
        <v>Base</v>
      </c>
    </row>
    <row r="68" ht="15.75" customHeight="1">
      <c r="B68" s="5" t="s">
        <v>70</v>
      </c>
      <c r="C68" s="6" t="str">
        <f>IFERROR(__xludf.DUMMYFUNCTION("IF(B68&lt;&gt;"""",GOOGLETRANSLATE(B68,""zh"",""zh-TW""),"""")"),"機會")</f>
        <v>機會</v>
      </c>
      <c r="D68" s="7" t="str">
        <f>IFERROR(__xludf.DUMMYFUNCTION("IF(B68&lt;&gt;"""",GOOGLETRANSLATE(B68,""zh"",""en""),"""")"),"Chance")</f>
        <v>Chance</v>
      </c>
    </row>
    <row r="69" ht="15.75" customHeight="1">
      <c r="B69" s="5" t="s">
        <v>71</v>
      </c>
      <c r="C69" s="6" t="str">
        <f>IFERROR(__xludf.DUMMYFUNCTION("IF(B69&lt;&gt;"""",GOOGLETRANSLATE(B69,""zh"",""zh-TW""),"""")"),"計時")</f>
        <v>計時</v>
      </c>
      <c r="D69" s="7" t="str">
        <f>IFERROR(__xludf.DUMMYFUNCTION("IF(B69&lt;&gt;"""",GOOGLETRANSLATE(B69,""zh"",""en""),"""")"),"Timing")</f>
        <v>Timing</v>
      </c>
    </row>
    <row r="70" ht="15.75" customHeight="1">
      <c r="B70" s="5" t="s">
        <v>72</v>
      </c>
      <c r="C70" s="6" t="str">
        <f>IFERROR(__xludf.DUMMYFUNCTION("IF(B70&lt;&gt;"""",GOOGLETRANSLATE(B70,""zh"",""zh-TW""),"""")"),"驕傲")</f>
        <v>驕傲</v>
      </c>
      <c r="D70" s="7" t="str">
        <f>IFERROR(__xludf.DUMMYFUNCTION("IF(B70&lt;&gt;"""",GOOGLETRANSLATE(B70,""zh"",""en""),"""")"),"pride")</f>
        <v>pride</v>
      </c>
    </row>
    <row r="71" ht="15.75" customHeight="1">
      <c r="B71" s="5" t="s">
        <v>73</v>
      </c>
      <c r="C71" s="6" t="str">
        <f>IFERROR(__xludf.DUMMYFUNCTION("IF(B71&lt;&gt;"""",GOOGLETRANSLATE(B71,""zh"",""zh-TW""),"""")"),"教育")</f>
        <v>教育</v>
      </c>
      <c r="D71" s="7" t="str">
        <f>IFERROR(__xludf.DUMMYFUNCTION("IF(B71&lt;&gt;"""",GOOGLETRANSLATE(B71,""zh"",""en""),"""")"),"educate")</f>
        <v>educate</v>
      </c>
    </row>
    <row r="72" ht="15.75" customHeight="1">
      <c r="B72" s="5" t="s">
        <v>74</v>
      </c>
      <c r="C72" s="6" t="str">
        <f>IFERROR(__xludf.DUMMYFUNCTION("IF(B72&lt;&gt;"""",GOOGLETRANSLATE(B72,""zh"",""zh-TW""),"""")"),"接受")</f>
        <v>接受</v>
      </c>
      <c r="D72" s="7" t="str">
        <f>IFERROR(__xludf.DUMMYFUNCTION("IF(B72&lt;&gt;"""",GOOGLETRANSLATE(B72,""zh"",""en""),"""")"),"accept")</f>
        <v>accept</v>
      </c>
    </row>
    <row r="73" ht="15.75" customHeight="1">
      <c r="B73" s="5" t="s">
        <v>75</v>
      </c>
      <c r="C73" s="6" t="str">
        <f>IFERROR(__xludf.DUMMYFUNCTION("IF(B73&lt;&gt;"""",GOOGLETRANSLATE(B73,""zh"",""zh-TW""),"""")"),"主管")</f>
        <v>主管</v>
      </c>
      <c r="D73" s="7" t="str">
        <f>IFERROR(__xludf.DUMMYFUNCTION("IF(B73&lt;&gt;"""",GOOGLETRANSLATE(B73,""zh"",""en""),"""")"),"manager")</f>
        <v>manager</v>
      </c>
    </row>
    <row r="74" ht="15.75" customHeight="1">
      <c r="B74" s="5" t="s">
        <v>76</v>
      </c>
      <c r="C74" s="6" t="str">
        <f>IFERROR(__xludf.DUMMYFUNCTION("IF(B74&lt;&gt;"""",GOOGLETRANSLATE(B74,""zh"",""zh-TW""),"""")"),"開朗")</f>
        <v>開朗</v>
      </c>
      <c r="D74" s="7" t="str">
        <f>IFERROR(__xludf.DUMMYFUNCTION("IF(B74&lt;&gt;"""",GOOGLETRANSLATE(B74,""zh"",""en""),"""")"),"Cheerful")</f>
        <v>Cheerful</v>
      </c>
    </row>
    <row r="75" ht="15.75" customHeight="1">
      <c r="B75" s="5" t="s">
        <v>77</v>
      </c>
      <c r="C75" s="6" t="str">
        <f>IFERROR(__xludf.DUMMYFUNCTION("IF(B75&lt;&gt;"""",GOOGLETRANSLATE(B75,""zh"",""zh-TW""),"""")"),"考慮")</f>
        <v>考慮</v>
      </c>
      <c r="D75" s="7" t="str">
        <f>IFERROR(__xludf.DUMMYFUNCTION("IF(B75&lt;&gt;"""",GOOGLETRANSLATE(B75,""zh"",""en""),"""")"),"consider")</f>
        <v>consider</v>
      </c>
    </row>
    <row r="76" ht="15.75" customHeight="1">
      <c r="B76" s="5" t="s">
        <v>78</v>
      </c>
      <c r="C76" s="6" t="str">
        <f>IFERROR(__xludf.DUMMYFUNCTION("IF(B76&lt;&gt;"""",GOOGLETRANSLATE(B76,""zh"",""zh-TW""),"""")"),"可靠")</f>
        <v>可靠</v>
      </c>
      <c r="D76" s="7" t="str">
        <f>IFERROR(__xludf.DUMMYFUNCTION("IF(B76&lt;&gt;"""",GOOGLETRANSLATE(B76,""zh"",""en""),"""")"),"reliable")</f>
        <v>reliable</v>
      </c>
    </row>
    <row r="77" ht="15.75" customHeight="1">
      <c r="B77" s="5" t="s">
        <v>79</v>
      </c>
      <c r="C77" s="6" t="str">
        <f>IFERROR(__xludf.DUMMYFUNCTION("IF(B77&lt;&gt;"""",GOOGLETRANSLATE(B77,""zh"",""zh-TW""),"""")"),"可怕")</f>
        <v>可怕</v>
      </c>
      <c r="D77" s="7" t="str">
        <f>IFERROR(__xludf.DUMMYFUNCTION("IF(B77&lt;&gt;"""",GOOGLETRANSLATE(B77,""zh"",""en""),"""")"),"horrible")</f>
        <v>horrible</v>
      </c>
    </row>
    <row r="78" ht="15.75" customHeight="1">
      <c r="B78" s="5" t="s">
        <v>80</v>
      </c>
      <c r="C78" s="6" t="str">
        <f>IFERROR(__xludf.DUMMYFUNCTION("IF(B78&lt;&gt;"""",GOOGLETRANSLATE(B78,""zh"",""zh-TW""),"""")"),"跨國")</f>
        <v>跨國</v>
      </c>
      <c r="D78" s="7" t="str">
        <f>IFERROR(__xludf.DUMMYFUNCTION("IF(B78&lt;&gt;"""",GOOGLETRANSLATE(B78,""zh"",""en""),"""")"),"transnational")</f>
        <v>transnational</v>
      </c>
    </row>
    <row r="79" ht="15.75" customHeight="1">
      <c r="B79" s="5" t="s">
        <v>81</v>
      </c>
      <c r="C79" s="6" t="str">
        <f>IFERROR(__xludf.DUMMYFUNCTION("IF(B79&lt;&gt;"""",GOOGLETRANSLATE(B79,""zh"",""zh-TW""),"""")"),"老百姓")</f>
        <v>老百姓</v>
      </c>
      <c r="D79" s="7" t="str">
        <f>IFERROR(__xludf.DUMMYFUNCTION("IF(B79&lt;&gt;"""",GOOGLETRANSLATE(B79,""zh"",""en""),"""")"),"Ordinary people")</f>
        <v>Ordinary people</v>
      </c>
    </row>
    <row r="80" ht="15.75" customHeight="1">
      <c r="B80" s="5" t="s">
        <v>82</v>
      </c>
      <c r="C80" s="6" t="str">
        <f>IFERROR(__xludf.DUMMYFUNCTION("IF(B80&lt;&gt;"""",GOOGLETRANSLATE(B80,""zh"",""zh-TW""),"""")"),"老外")</f>
        <v>老外</v>
      </c>
      <c r="D80" s="7" t="str">
        <f>IFERROR(__xludf.DUMMYFUNCTION("IF(B80&lt;&gt;"""",GOOGLETRANSLATE(B80,""zh"",""en""),"""")"),"foreigner")</f>
        <v>foreigner</v>
      </c>
    </row>
    <row r="81" ht="15.75" customHeight="1">
      <c r="B81" s="5" t="s">
        <v>83</v>
      </c>
      <c r="C81" s="6" t="str">
        <f>IFERROR(__xludf.DUMMYFUNCTION("IF(B81&lt;&gt;"""",GOOGLETRANSLATE(B81,""zh"",""zh-TW""),"""")"),"厲害")</f>
        <v>厲害</v>
      </c>
      <c r="D81" s="7" t="str">
        <f>IFERROR(__xludf.DUMMYFUNCTION("IF(B81&lt;&gt;"""",GOOGLETRANSLATE(B81,""zh"",""en""),"""")"),"sharp")</f>
        <v>sharp</v>
      </c>
    </row>
    <row r="82" ht="15.75" customHeight="1">
      <c r="B82" s="5" t="s">
        <v>84</v>
      </c>
      <c r="C82" s="6" t="str">
        <f>IFERROR(__xludf.DUMMYFUNCTION("IF(B82&lt;&gt;"""",GOOGLETRANSLATE(B82,""zh"",""zh-TW""),"""")"),"歷史")</f>
        <v>歷史</v>
      </c>
      <c r="D82" s="7" t="str">
        <f>IFERROR(__xludf.DUMMYFUNCTION("IF(B82&lt;&gt;"""",GOOGLETRANSLATE(B82,""zh"",""en""),"""")"),"history")</f>
        <v>history</v>
      </c>
    </row>
    <row r="83" ht="15.75" customHeight="1">
      <c r="B83" s="5" t="s">
        <v>85</v>
      </c>
      <c r="C83" s="6" t="str">
        <f>IFERROR(__xludf.DUMMYFUNCTION("IF(B83&lt;&gt;"""",GOOGLETRANSLATE(B83,""zh"",""zh-TW""),"""")"),"錄用")</f>
        <v>錄用</v>
      </c>
      <c r="D83" s="7" t="str">
        <f>IFERROR(__xludf.DUMMYFUNCTION("IF(B83&lt;&gt;"""",GOOGLETRANSLATE(B83,""zh"",""en""),"""")"),"Hire")</f>
        <v>Hire</v>
      </c>
    </row>
    <row r="84" ht="15.75" customHeight="1">
      <c r="B84" s="5" t="s">
        <v>86</v>
      </c>
      <c r="C84" s="6" t="str">
        <f>IFERROR(__xludf.DUMMYFUNCTION("IF(B84&lt;&gt;"""",GOOGLETRANSLATE(B84,""zh"",""zh-TW""),"""")"),"錄取")</f>
        <v>錄取</v>
      </c>
      <c r="D84" s="7" t="str">
        <f>IFERROR(__xludf.DUMMYFUNCTION("IF(B84&lt;&gt;"""",GOOGLETRANSLATE(B84,""zh"",""en""),"""")"),"Admission")</f>
        <v>Admission</v>
      </c>
    </row>
    <row r="85" ht="15.75" customHeight="1">
      <c r="B85" s="5" t="s">
        <v>87</v>
      </c>
      <c r="C85" s="6" t="str">
        <f>IFERROR(__xludf.DUMMYFUNCTION("IF(B85&lt;&gt;"""",GOOGLETRANSLATE(B85,""zh"",""zh-TW""),"""")"),"落伍")</f>
        <v>落伍</v>
      </c>
      <c r="D85" s="7" t="str">
        <f>IFERROR(__xludf.DUMMYFUNCTION("IF(B85&lt;&gt;"""",GOOGLETRANSLATE(B85,""zh"",""en""),"""")"),"Outdoor")</f>
        <v>Outdoor</v>
      </c>
    </row>
    <row r="86" ht="15.75" customHeight="1">
      <c r="B86" s="5" t="s">
        <v>88</v>
      </c>
      <c r="C86" s="6" t="str">
        <f>IFERROR(__xludf.DUMMYFUNCTION("IF(B86&lt;&gt;"""",GOOGLETRANSLATE(B86,""zh"",""zh-TW""),"""")"),"滿意")</f>
        <v>滿意</v>
      </c>
      <c r="D86" s="7" t="str">
        <f>IFERROR(__xludf.DUMMYFUNCTION("IF(B86&lt;&gt;"""",GOOGLETRANSLATE(B86,""zh"",""en""),"""")"),"satisfy")</f>
        <v>satisfy</v>
      </c>
    </row>
    <row r="87" ht="15.75" customHeight="1">
      <c r="B87" s="5" t="s">
        <v>89</v>
      </c>
      <c r="C87" s="6" t="str">
        <f>IFERROR(__xludf.DUMMYFUNCTION("IF(B87&lt;&gt;"""",GOOGLETRANSLATE(B87,""zh"",""zh-TW""),"""")"),"面積")</f>
        <v>面積</v>
      </c>
      <c r="D87" s="7" t="str">
        <f>IFERROR(__xludf.DUMMYFUNCTION("IF(B87&lt;&gt;"""",GOOGLETRANSLATE(B87,""zh"",""en""),"""")"),"area")</f>
        <v>area</v>
      </c>
    </row>
    <row r="88" ht="15.75" customHeight="1">
      <c r="B88" s="5" t="s">
        <v>90</v>
      </c>
      <c r="C88" s="6" t="str">
        <f>IFERROR(__xludf.DUMMYFUNCTION("IF(B88&lt;&gt;"""",GOOGLETRANSLATE(B88,""zh"",""zh-TW""),"""")"),"陌生")</f>
        <v>陌生</v>
      </c>
      <c r="D88" s="7" t="str">
        <f>IFERROR(__xludf.DUMMYFUNCTION("IF(B88&lt;&gt;"""",GOOGLETRANSLATE(B88,""zh"",""en""),"""")"),"strangeness")</f>
        <v>strangeness</v>
      </c>
    </row>
    <row r="89" ht="15.75" customHeight="1">
      <c r="B89" s="5" t="s">
        <v>91</v>
      </c>
      <c r="C89" s="6" t="str">
        <f>IFERROR(__xludf.DUMMYFUNCTION("IF(B89&lt;&gt;"""",GOOGLETRANSLATE(B89,""zh"",""zh-TW""),"""")"),"墨西哥")</f>
        <v>墨西哥</v>
      </c>
      <c r="D89" s="7" t="str">
        <f>IFERROR(__xludf.DUMMYFUNCTION("IF(B89&lt;&gt;"""",GOOGLETRANSLATE(B89,""zh"",""en""),"""")"),"Mexico")</f>
        <v>Mexico</v>
      </c>
    </row>
    <row r="90" ht="15.75" customHeight="1">
      <c r="B90" s="5" t="s">
        <v>92</v>
      </c>
      <c r="C90" s="6" t="str">
        <f>IFERROR(__xludf.DUMMYFUNCTION("IF(B90&lt;&gt;"""",GOOGLETRANSLATE(B90,""zh"",""zh-TW""),"""")"),"農村")</f>
        <v>農村</v>
      </c>
      <c r="D90" s="7" t="str">
        <f>IFERROR(__xludf.DUMMYFUNCTION("IF(B90&lt;&gt;"""",GOOGLETRANSLATE(B90,""zh"",""en""),"""")"),"Rural")</f>
        <v>Rural</v>
      </c>
    </row>
    <row r="91" ht="15.75" customHeight="1">
      <c r="B91" s="5" t="s">
        <v>93</v>
      </c>
      <c r="C91" s="6" t="str">
        <f>IFERROR(__xludf.DUMMYFUNCTION("IF(B91&lt;&gt;"""",GOOGLETRANSLATE(B91,""zh"",""zh-TW""),"""")"),"歐洲")</f>
        <v>歐洲</v>
      </c>
      <c r="D91" s="7" t="str">
        <f>IFERROR(__xludf.DUMMYFUNCTION("IF(B91&lt;&gt;"""",GOOGLETRANSLATE(B91,""zh"",""en""),"""")"),"Europe")</f>
        <v>Europe</v>
      </c>
    </row>
    <row r="92" ht="15.75" customHeight="1">
      <c r="B92" s="5" t="s">
        <v>94</v>
      </c>
      <c r="C92" s="6" t="str">
        <f>IFERROR(__xludf.DUMMYFUNCTION("IF(B92&lt;&gt;"""",GOOGLETRANSLATE(B92,""zh"",""zh-TW""),"""")"),"事業")</f>
        <v>事業</v>
      </c>
      <c r="D92" s="7" t="str">
        <f>IFERROR(__xludf.DUMMYFUNCTION("IF(B92&lt;&gt;"""",GOOGLETRANSLATE(B92,""zh"",""en""),"""")"),"cause")</f>
        <v>cause</v>
      </c>
    </row>
    <row r="93" ht="15.75" customHeight="1">
      <c r="B93" s="5" t="s">
        <v>95</v>
      </c>
      <c r="C93" s="6" t="str">
        <f>IFERROR(__xludf.DUMMYFUNCTION("IF(B93&lt;&gt;"""",GOOGLETRANSLATE(B93,""zh"",""zh-TW""),"""")"),"畢業")</f>
        <v>畢業</v>
      </c>
      <c r="D93" s="7" t="str">
        <f>IFERROR(__xludf.DUMMYFUNCTION("IF(B93&lt;&gt;"""",GOOGLETRANSLATE(B93,""zh"",""en""),"""")"),"graduate")</f>
        <v>graduate</v>
      </c>
    </row>
    <row r="94" ht="15.75" customHeight="1">
      <c r="B94" s="5" t="s">
        <v>96</v>
      </c>
      <c r="C94" s="6" t="str">
        <f>IFERROR(__xludf.DUMMYFUNCTION("IF(B94&lt;&gt;"""",GOOGLETRANSLATE(B94,""zh"",""zh-TW""),"""")"),"情況")</f>
        <v>情況</v>
      </c>
      <c r="D94" s="7" t="str">
        <f>IFERROR(__xludf.DUMMYFUNCTION("IF(B94&lt;&gt;"""",GOOGLETRANSLATE(B94,""zh"",""en""),"""")"),"Condition")</f>
        <v>Condition</v>
      </c>
    </row>
    <row r="95" ht="15.75" customHeight="1">
      <c r="B95" s="5" t="s">
        <v>97</v>
      </c>
      <c r="C95" s="6" t="str">
        <f>IFERROR(__xludf.DUMMYFUNCTION("IF(B95&lt;&gt;"""",GOOGLETRANSLATE(B95,""zh"",""zh-TW""),"""")"),"缺點")</f>
        <v>缺點</v>
      </c>
      <c r="D95" s="7" t="str">
        <f>IFERROR(__xludf.DUMMYFUNCTION("IF(B95&lt;&gt;"""",GOOGLETRANSLATE(B95,""zh"",""en""),"""")"),"shortcoming")</f>
        <v>shortcoming</v>
      </c>
    </row>
    <row r="96" ht="15.75" customHeight="1">
      <c r="B96" s="5" t="s">
        <v>98</v>
      </c>
      <c r="C96" s="6" t="str">
        <f>IFERROR(__xludf.DUMMYFUNCTION("IF(B96&lt;&gt;"""",GOOGLETRANSLATE(B96,""zh"",""zh-TW""),"""")"),"上班")</f>
        <v>上班</v>
      </c>
      <c r="D96" s="7" t="str">
        <f>IFERROR(__xludf.DUMMYFUNCTION("IF(B96&lt;&gt;"""",GOOGLETRANSLATE(B96,""zh"",""en""),"""")"),"work")</f>
        <v>work</v>
      </c>
    </row>
    <row r="97" ht="15.75" customHeight="1">
      <c r="B97" s="5" t="s">
        <v>99</v>
      </c>
      <c r="C97" s="6" t="str">
        <f>IFERROR(__xludf.DUMMYFUNCTION("IF(B97&lt;&gt;"""",GOOGLETRANSLATE(B97,""zh"",""zh-TW""),"""")"),"申請")</f>
        <v>申請</v>
      </c>
      <c r="D97" s="7" t="str">
        <f>IFERROR(__xludf.DUMMYFUNCTION("IF(B97&lt;&gt;"""",GOOGLETRANSLATE(B97,""zh"",""en""),"""")"),"Apply")</f>
        <v>Apply</v>
      </c>
    </row>
    <row r="98" ht="15.75" customHeight="1">
      <c r="B98" s="5" t="s">
        <v>100</v>
      </c>
      <c r="C98" s="6" t="str">
        <f>IFERROR(__xludf.DUMMYFUNCTION("IF(B98&lt;&gt;"""",GOOGLETRANSLATE(B98,""zh"",""zh-TW""),"""")"),"順利")</f>
        <v>順利</v>
      </c>
      <c r="D98" s="7" t="str">
        <f>IFERROR(__xludf.DUMMYFUNCTION("IF(B98&lt;&gt;"""",GOOGLETRANSLATE(B98,""zh"",""en""),"""")"),"smoothly")</f>
        <v>smoothly</v>
      </c>
    </row>
    <row r="99" ht="15.75" customHeight="1">
      <c r="B99" s="5" t="s">
        <v>101</v>
      </c>
      <c r="C99" s="6" t="str">
        <f>IFERROR(__xludf.DUMMYFUNCTION("IF(B99&lt;&gt;"""",GOOGLETRANSLATE(B99,""zh"",""zh-TW""),"""")"),"說服")</f>
        <v>說服</v>
      </c>
      <c r="D99" s="7" t="str">
        <f>IFERROR(__xludf.DUMMYFUNCTION("IF(B99&lt;&gt;"""",GOOGLETRANSLATE(B99,""zh"",""en""),"""")"),"persuade")</f>
        <v>persuade</v>
      </c>
    </row>
    <row r="100" ht="15.75" customHeight="1">
      <c r="B100" s="5" t="s">
        <v>22</v>
      </c>
      <c r="C100" s="6" t="str">
        <f>IFERROR(__xludf.DUMMYFUNCTION("IF(B100&lt;&gt;"""",GOOGLETRANSLATE(B100,""zh"",""zh-TW""),"""")"),"碩士")</f>
        <v>碩士</v>
      </c>
      <c r="D100" s="7" t="str">
        <f>IFERROR(__xludf.DUMMYFUNCTION("IF(B100&lt;&gt;"""",GOOGLETRANSLATE(B100,""zh"",""en""),"""")"),"master")</f>
        <v>master</v>
      </c>
    </row>
    <row r="101" ht="15.75" customHeight="1">
      <c r="B101" s="5" t="s">
        <v>102</v>
      </c>
      <c r="C101" s="6" t="str">
        <f>IFERROR(__xludf.DUMMYFUNCTION("IF(B101&lt;&gt;"""",GOOGLETRANSLATE(B101,""zh"",""zh-TW""),"""")"),"討論")</f>
        <v>討論</v>
      </c>
      <c r="D101" s="7" t="str">
        <f>IFERROR(__xludf.DUMMYFUNCTION("IF(B101&lt;&gt;"""",GOOGLETRANSLATE(B101,""zh"",""en""),"""")"),"discuss")</f>
        <v>discuss</v>
      </c>
    </row>
    <row r="102" ht="15.75" customHeight="1">
      <c r="B102" s="5" t="s">
        <v>103</v>
      </c>
      <c r="C102" s="6" t="str">
        <f>IFERROR(__xludf.DUMMYFUNCTION("IF(B102&lt;&gt;"""",GOOGLETRANSLATE(B102,""zh"",""zh-TW""),"""")"),"討厭")</f>
        <v>討厭</v>
      </c>
      <c r="D102" s="7" t="str">
        <f>IFERROR(__xludf.DUMMYFUNCTION("IF(B102&lt;&gt;"""",GOOGLETRANSLATE(B102,""zh"",""en""),"""")"),"Hate")</f>
        <v>Hate</v>
      </c>
    </row>
    <row r="103" ht="15.75" customHeight="1">
      <c r="B103" s="5" t="s">
        <v>104</v>
      </c>
      <c r="C103" s="6" t="str">
        <f>IFERROR(__xludf.DUMMYFUNCTION("IF(B103&lt;&gt;"""",GOOGLETRANSLATE(B103,""zh"",""zh-TW""),"""")"),"提(高)")</f>
        <v>提(高)</v>
      </c>
      <c r="D103" s="7" t="str">
        <f>IFERROR(__xludf.DUMMYFUNCTION("IF(B103&lt;&gt;"""",GOOGLETRANSLATE(B103,""zh"",""en""),"""")"),"improve)")</f>
        <v>improve)</v>
      </c>
    </row>
    <row r="104" ht="15.75" customHeight="1">
      <c r="B104" s="5" t="s">
        <v>105</v>
      </c>
      <c r="C104" s="6" t="str">
        <f>IFERROR(__xludf.DUMMYFUNCTION("IF(B104&lt;&gt;"""",GOOGLETRANSLATE(B104,""zh"",""zh-TW""),"""")"),"推銷")</f>
        <v>推銷</v>
      </c>
      <c r="D104" s="7" t="str">
        <f>IFERROR(__xludf.DUMMYFUNCTION("IF(B104&lt;&gt;"""",GOOGLETRANSLATE(B104,""zh"",""en""),"""")"),"sell")</f>
        <v>sell</v>
      </c>
    </row>
    <row r="105" ht="15.75" customHeight="1">
      <c r="B105" s="5" t="s">
        <v>106</v>
      </c>
      <c r="C105" s="6" t="str">
        <f>IFERROR(__xludf.DUMMYFUNCTION("IF(B105&lt;&gt;"""",GOOGLETRANSLATE(B105,""zh"",""zh-TW""),"""")"),"望子成龍")</f>
        <v>望子成龍</v>
      </c>
      <c r="D105" s="7" t="str">
        <f>IFERROR(__xludf.DUMMYFUNCTION("IF(B105&lt;&gt;"""",GOOGLETRANSLATE(B105,""zh"",""en""),"""")"),"Wang Zijian")</f>
        <v>Wang Zijian</v>
      </c>
    </row>
    <row r="106" ht="15.75" customHeight="1">
      <c r="B106" s="5" t="s">
        <v>107</v>
      </c>
      <c r="C106" s="6" t="str">
        <f>IFERROR(__xludf.DUMMYFUNCTION("IF(B106&lt;&gt;"""",GOOGLETRANSLATE(B106,""zh"",""zh-TW""),"""")"),"望女成鳳")</f>
        <v>望女成鳳</v>
      </c>
      <c r="D106" s="7" t="str">
        <f>IFERROR(__xludf.DUMMYFUNCTION("IF(B106&lt;&gt;"""",GOOGLETRANSLATE(B106,""zh"",""en""),"""")"),"Hope to become a female")</f>
        <v>Hope to become a female</v>
      </c>
    </row>
    <row r="107" ht="15.75" customHeight="1">
      <c r="B107" s="5" t="s">
        <v>108</v>
      </c>
      <c r="C107" s="6" t="str">
        <f>IFERROR(__xludf.DUMMYFUNCTION("IF(B107&lt;&gt;"""",GOOGLETRANSLATE(B107,""zh"",""zh-TW""),"""")"),"偉大")</f>
        <v>偉大</v>
      </c>
      <c r="D107" s="7" t="str">
        <f>IFERROR(__xludf.DUMMYFUNCTION("IF(B107&lt;&gt;"""",GOOGLETRANSLATE(B107,""zh"",""en""),"""")"),"great")</f>
        <v>great</v>
      </c>
    </row>
    <row r="108" ht="15.75" customHeight="1">
      <c r="B108" s="5" t="s">
        <v>109</v>
      </c>
      <c r="C108" s="6" t="str">
        <f>IFERROR(__xludf.DUMMYFUNCTION("IF(B108&lt;&gt;"""",GOOGLETRANSLATE(B108,""zh"",""zh-TW""),"""")"),"體貼")</f>
        <v>體貼</v>
      </c>
      <c r="D108" s="7" t="str">
        <f>IFERROR(__xludf.DUMMYFUNCTION("IF(B108&lt;&gt;"""",GOOGLETRANSLATE(B108,""zh"",""en""),"""")"),"Considerate")</f>
        <v>Considerate</v>
      </c>
    </row>
    <row r="109" ht="15.75" customHeight="1">
      <c r="B109" s="5" t="s">
        <v>110</v>
      </c>
      <c r="C109" s="6" t="str">
        <f>IFERROR(__xludf.DUMMYFUNCTION("IF(B109&lt;&gt;"""",GOOGLETRANSLATE(B109,""zh"",""zh-TW""),"""")"),"習慣")</f>
        <v>習慣</v>
      </c>
      <c r="D109" s="7" t="str">
        <f>IFERROR(__xludf.DUMMYFUNCTION("IF(B109&lt;&gt;"""",GOOGLETRANSLATE(B109,""zh"",""en""),"""")"),"Habit")</f>
        <v>Habit</v>
      </c>
    </row>
    <row r="110" ht="15.75" customHeight="1">
      <c r="B110" s="5" t="s">
        <v>111</v>
      </c>
      <c r="C110" s="6" t="str">
        <f>IFERROR(__xludf.DUMMYFUNCTION("IF(B110&lt;&gt;"""",GOOGLETRANSLATE(B110,""zh"",""zh-TW""),"""")"),"嚇人")</f>
        <v>嚇人</v>
      </c>
      <c r="D110" s="7" t="str">
        <f>IFERROR(__xludf.DUMMYFUNCTION("IF(B110&lt;&gt;"""",GOOGLETRANSLATE(B110,""zh"",""en""),"""")"),"Scary")</f>
        <v>Scary</v>
      </c>
    </row>
    <row r="111" ht="15.75" customHeight="1">
      <c r="B111" s="5" t="s">
        <v>112</v>
      </c>
      <c r="C111" s="6" t="str">
        <f>IFERROR(__xludf.DUMMYFUNCTION("IF(B111&lt;&gt;"""",GOOGLETRANSLATE(B111,""zh"",""zh-TW""),"""")"),"嫌")</f>
        <v>嫌</v>
      </c>
      <c r="D111" s="7" t="str">
        <f>IFERROR(__xludf.DUMMYFUNCTION("IF(B111&lt;&gt;"""",GOOGLETRANSLATE(B111,""zh"",""en""),"""")"),"Dislike")</f>
        <v>Dislike</v>
      </c>
    </row>
    <row r="112" ht="15.75" customHeight="1">
      <c r="B112" s="5" t="s">
        <v>113</v>
      </c>
      <c r="C112" s="6" t="str">
        <f>IFERROR(__xludf.DUMMYFUNCTION("IF(B112&lt;&gt;"""",GOOGLETRANSLATE(B112,""zh"",""zh-TW""),"""")"),"相信")</f>
        <v>相信</v>
      </c>
      <c r="D112" s="7" t="str">
        <f>IFERROR(__xludf.DUMMYFUNCTION("IF(B112&lt;&gt;"""",GOOGLETRANSLATE(B112,""zh"",""en""),"""")"),"believe")</f>
        <v>believe</v>
      </c>
    </row>
    <row r="113" ht="15.75" customHeight="1">
      <c r="B113" s="5" t="s">
        <v>114</v>
      </c>
      <c r="C113" s="6" t="str">
        <f>IFERROR(__xludf.DUMMYFUNCTION("IF(B113&lt;&gt;"""",GOOGLETRANSLATE(B113,""zh"",""zh-TW""),"""")"),"想法")</f>
        <v>想法</v>
      </c>
      <c r="D113" s="7" t="str">
        <f>IFERROR(__xludf.DUMMYFUNCTION("IF(B113&lt;&gt;"""",GOOGLETRANSLATE(B113,""zh"",""en""),"""")"),"idea")</f>
        <v>idea</v>
      </c>
    </row>
    <row r="114" ht="15.75" customHeight="1">
      <c r="B114" s="5" t="s">
        <v>115</v>
      </c>
      <c r="C114" s="6" t="str">
        <f>IFERROR(__xludf.DUMMYFUNCTION("IF(B114&lt;&gt;"""",GOOGLETRANSLATE(B114,""zh"",""zh-TW""),"""")"),"新生")</f>
        <v>新生</v>
      </c>
      <c r="D114" s="7" t="str">
        <f>IFERROR(__xludf.DUMMYFUNCTION("IF(B114&lt;&gt;"""",GOOGLETRANSLATE(B114,""zh"",""en""),"""")"),"newborn")</f>
        <v>newborn</v>
      </c>
    </row>
    <row r="115" ht="15.75" customHeight="1">
      <c r="B115" s="5" t="s">
        <v>116</v>
      </c>
      <c r="C115" s="6" t="str">
        <f>IFERROR(__xludf.DUMMYFUNCTION("IF(B115&lt;&gt;"""",GOOGLETRANSLATE(B115,""zh"",""zh-TW""),"""")"),"選擇")</f>
        <v>選擇</v>
      </c>
      <c r="D115" s="7" t="str">
        <f>IFERROR(__xludf.DUMMYFUNCTION("IF(B115&lt;&gt;"""",GOOGLETRANSLATE(B115,""zh"",""en""),"""")"),"choose")</f>
        <v>choose</v>
      </c>
    </row>
    <row r="116" ht="15.75" customHeight="1">
      <c r="B116" s="5" t="s">
        <v>117</v>
      </c>
      <c r="C116" s="6" t="str">
        <f>IFERROR(__xludf.DUMMYFUNCTION("IF(B116&lt;&gt;"""",GOOGLETRANSLATE(B116,""zh"",""zh-TW""),"""")"),"學有所成")</f>
        <v>學有所成</v>
      </c>
      <c r="D116" s="7" t="str">
        <f>IFERROR(__xludf.DUMMYFUNCTION("IF(B116&lt;&gt;"""",GOOGLETRANSLATE(B116,""zh"",""en""),"""")"),"learning success")</f>
        <v>learning success</v>
      </c>
    </row>
    <row r="117" ht="15.75" customHeight="1">
      <c r="B117" s="5" t="s">
        <v>118</v>
      </c>
      <c r="C117" s="6" t="str">
        <f>IFERROR(__xludf.DUMMYFUNCTION("IF(B117&lt;&gt;"""",GOOGLETRANSLATE(B117,""zh"",""zh-TW""),"""")"),"壓力")</f>
        <v>壓力</v>
      </c>
      <c r="D117" s="7" t="str">
        <f>IFERROR(__xludf.DUMMYFUNCTION("IF(B117&lt;&gt;"""",GOOGLETRANSLATE(B117,""zh"",""en""),"""")"),"pressure")</f>
        <v>pressure</v>
      </c>
    </row>
    <row r="118" ht="15.75" customHeight="1">
      <c r="B118" s="5" t="s">
        <v>119</v>
      </c>
      <c r="C118" s="6" t="str">
        <f>IFERROR(__xludf.DUMMYFUNCTION("IF(B118&lt;&gt;"""",GOOGLETRANSLATE(B118,""zh"",""zh-TW""),"""")"),"一干二淨")</f>
        <v>一干二淨</v>
      </c>
      <c r="D118" s="7" t="str">
        <f>IFERROR(__xludf.DUMMYFUNCTION("IF(B118&lt;&gt;"""",GOOGLETRANSLATE(B118,""zh"",""en""),"""")"),"One -time")</f>
        <v>One -time</v>
      </c>
    </row>
    <row r="119" ht="15.75" customHeight="1">
      <c r="B119" s="5" t="s">
        <v>120</v>
      </c>
      <c r="C119" s="6" t="str">
        <f>IFERROR(__xludf.DUMMYFUNCTION("IF(B119&lt;&gt;"""",GOOGLETRANSLATE(B119,""zh"",""zh-TW""),"""")"),"優秀")</f>
        <v>優秀</v>
      </c>
      <c r="D119" s="7" t="str">
        <f>IFERROR(__xludf.DUMMYFUNCTION("IF(B119&lt;&gt;"""",GOOGLETRANSLATE(B119,""zh"",""en""),"""")"),"excellent")</f>
        <v>excellent</v>
      </c>
    </row>
    <row r="120" ht="15.75" customHeight="1">
      <c r="B120" s="5" t="s">
        <v>121</v>
      </c>
      <c r="C120" s="6" t="str">
        <f>IFERROR(__xludf.DUMMYFUNCTION("IF(B120&lt;&gt;"""",GOOGLETRANSLATE(B120,""zh"",""zh-TW""),"""")"),"優點")</f>
        <v>優點</v>
      </c>
      <c r="D120" s="7" t="str">
        <f>IFERROR(__xludf.DUMMYFUNCTION("IF(B120&lt;&gt;"""",GOOGLETRANSLATE(B120,""zh"",""en""),"""")"),"advantage")</f>
        <v>advantage</v>
      </c>
    </row>
    <row r="121" ht="15.75" customHeight="1">
      <c r="B121" s="5" t="s">
        <v>122</v>
      </c>
      <c r="C121" s="6" t="str">
        <f>IFERROR(__xludf.DUMMYFUNCTION("IF(B121&lt;&gt;"""",GOOGLETRANSLATE(B121,""zh"",""zh-TW""),"""")"),"幽默")</f>
        <v>幽默</v>
      </c>
      <c r="D121" s="7" t="str">
        <f>IFERROR(__xludf.DUMMYFUNCTION("IF(B121&lt;&gt;"""",GOOGLETRANSLATE(B121,""zh"",""en""),"""")"),"humor")</f>
        <v>humor</v>
      </c>
    </row>
    <row r="122" ht="15.75" customHeight="1">
      <c r="B122" s="5" t="s">
        <v>123</v>
      </c>
      <c r="C122" s="6" t="str">
        <f>IFERROR(__xludf.DUMMYFUNCTION("IF(B122&lt;&gt;"""",GOOGLETRANSLATE(B122,""zh"",""zh-TW""),"""")"),"友誼")</f>
        <v>友誼</v>
      </c>
      <c r="D122" s="7" t="str">
        <f>IFERROR(__xludf.DUMMYFUNCTION("IF(B122&lt;&gt;"""",GOOGLETRANSLATE(B122,""zh"",""en""),"""")"),"friendship")</f>
        <v>friendship</v>
      </c>
    </row>
    <row r="123" ht="15.75" customHeight="1">
      <c r="B123" s="5" t="s">
        <v>124</v>
      </c>
      <c r="C123" s="6" t="str">
        <f>IFERROR(__xludf.DUMMYFUNCTION("IF(B123&lt;&gt;"""",GOOGLETRANSLATE(B123,""zh"",""zh-TW""),"""")"),"真心")</f>
        <v>真心</v>
      </c>
      <c r="D123" s="7" t="str">
        <f>IFERROR(__xludf.DUMMYFUNCTION("IF(B123&lt;&gt;"""",GOOGLETRANSLATE(B123,""zh"",""en""),"""")"),"sincere")</f>
        <v>sincere</v>
      </c>
    </row>
    <row r="124" ht="15.75" customHeight="1">
      <c r="B124" s="5" t="s">
        <v>125</v>
      </c>
      <c r="C124" s="6" t="str">
        <f>IFERROR(__xludf.DUMMYFUNCTION("IF(B124&lt;&gt;"""",GOOGLETRANSLATE(B124,""zh"",""zh-TW""),"""")"),"著急")</f>
        <v>著急</v>
      </c>
      <c r="D124" s="7" t="str">
        <f>IFERROR(__xludf.DUMMYFUNCTION("IF(B124&lt;&gt;"""",GOOGLETRANSLATE(B124,""zh"",""en""),"""")"),"in a hurry")</f>
        <v>in a hurry</v>
      </c>
    </row>
    <row r="125" ht="15.75" customHeight="1">
      <c r="B125" s="5" t="s">
        <v>126</v>
      </c>
      <c r="C125" s="6" t="str">
        <f>IFERROR(__xludf.DUMMYFUNCTION("IF(B125&lt;&gt;"""",GOOGLETRANSLATE(B125,""zh"",""zh-TW""),"""")"),"整天")</f>
        <v>整天</v>
      </c>
      <c r="D125" s="7" t="str">
        <f>IFERROR(__xludf.DUMMYFUNCTION("IF(B125&lt;&gt;"""",GOOGLETRANSLATE(B125,""zh"",""en""),"""")"),"All day")</f>
        <v>All day</v>
      </c>
    </row>
    <row r="126" ht="15.75" customHeight="1">
      <c r="B126" s="5" t="s">
        <v>127</v>
      </c>
      <c r="C126" s="6" t="str">
        <f>IFERROR(__xludf.DUMMYFUNCTION("IF(B126&lt;&gt;"""",GOOGLETRANSLATE(B126,""zh"",""zh-TW""),"""")"),"知音")</f>
        <v>知音</v>
      </c>
      <c r="D126" s="7" t="str">
        <f>IFERROR(__xludf.DUMMYFUNCTION("IF(B126&lt;&gt;"""",GOOGLETRANSLATE(B126,""zh"",""en""),"""")"),"Bosom friend")</f>
        <v>Bosom friend</v>
      </c>
    </row>
    <row r="127" ht="15.75" customHeight="1">
      <c r="B127" s="5" t="s">
        <v>128</v>
      </c>
      <c r="C127" s="6" t="str">
        <f>IFERROR(__xludf.DUMMYFUNCTION("IF(B127&lt;&gt;"""",GOOGLETRANSLATE(B127,""zh"",""zh-TW""),"""")"),"職業")</f>
        <v>職業</v>
      </c>
      <c r="D127" s="7" t="str">
        <f>IFERROR(__xludf.DUMMYFUNCTION("IF(B127&lt;&gt;"""",GOOGLETRANSLATE(B127,""zh"",""en""),"""")"),"Profession")</f>
        <v>Profession</v>
      </c>
    </row>
    <row r="128" ht="15.75" customHeight="1">
      <c r="B128" s="5" t="s">
        <v>129</v>
      </c>
      <c r="C128" s="6" t="str">
        <f>IFERROR(__xludf.DUMMYFUNCTION("IF(B128&lt;&gt;"""",GOOGLETRANSLATE(B128,""zh"",""zh-TW""),"""")"),"重男輕女")</f>
        <v>重男輕女</v>
      </c>
      <c r="D128" s="7" t="str">
        <f>IFERROR(__xludf.DUMMYFUNCTION("IF(B128&lt;&gt;"""",GOOGLETRANSLATE(B128,""zh"",""en""),"""")"),"Pilotype")</f>
        <v>Pilotype</v>
      </c>
    </row>
    <row r="129" ht="15.75" customHeight="1">
      <c r="B129" s="5" t="s">
        <v>130</v>
      </c>
      <c r="C129" s="6" t="str">
        <f>IFERROR(__xludf.DUMMYFUNCTION("IF(B129&lt;&gt;"""",GOOGLETRANSLATE(B129,""zh"",""zh-TW""),"""")"),"重視")</f>
        <v>重視</v>
      </c>
      <c r="D129" s="7" t="str">
        <f>IFERROR(__xludf.DUMMYFUNCTION("IF(B129&lt;&gt;"""",GOOGLETRANSLATE(B129,""zh"",""en""),"""")"),"Pay attention to")</f>
        <v>Pay attention to</v>
      </c>
    </row>
    <row r="130" ht="15.75" customHeight="1">
      <c r="B130" s="5" t="s">
        <v>131</v>
      </c>
      <c r="C130" s="6" t="str">
        <f>IFERROR(__xludf.DUMMYFUNCTION("IF(B130&lt;&gt;"""",GOOGLETRANSLATE(B130,""zh"",""zh-TW""),"""")"),"眾人")</f>
        <v>眾人</v>
      </c>
      <c r="D130" s="7" t="str">
        <f>IFERROR(__xludf.DUMMYFUNCTION("IF(B130&lt;&gt;"""",GOOGLETRANSLATE(B130,""zh"",""en""),"""")"),"Crowd")</f>
        <v>Crowd</v>
      </c>
    </row>
    <row r="131" ht="15.75" customHeight="1">
      <c r="B131" s="5" t="s">
        <v>132</v>
      </c>
      <c r="C131" s="6" t="str">
        <f>IFERROR(__xludf.DUMMYFUNCTION("IF(B131&lt;&gt;"""",GOOGLETRANSLATE(B131,""zh"",""zh-TW""),"""")"),"自由")</f>
        <v>自由</v>
      </c>
      <c r="D131" s="7" t="str">
        <f>IFERROR(__xludf.DUMMYFUNCTION("IF(B131&lt;&gt;"""",GOOGLETRANSLATE(B131,""zh"",""en""),"""")"),"free")</f>
        <v>free</v>
      </c>
    </row>
    <row r="132" ht="15.75" customHeight="1">
      <c r="B132" s="5" t="s">
        <v>133</v>
      </c>
      <c r="C132" s="6" t="str">
        <f>IFERROR(__xludf.DUMMYFUNCTION("IF(B132&lt;&gt;"""",GOOGLETRANSLATE(B132,""zh"",""zh-TW""),"""")"),"做法")</f>
        <v>做法</v>
      </c>
      <c r="D132" s="7" t="str">
        <f>IFERROR(__xludf.DUMMYFUNCTION("IF(B132&lt;&gt;"""",GOOGLETRANSLATE(B132,""zh"",""en""),"""")"),"practice")</f>
        <v>practice</v>
      </c>
    </row>
    <row r="133" ht="15.75" customHeight="1">
      <c r="B133" s="5" t="s">
        <v>134</v>
      </c>
      <c r="C133" s="6" t="str">
        <f>IFERROR(__xludf.DUMMYFUNCTION("IF(B133&lt;&gt;"""",GOOGLETRANSLATE(B133,""zh"",""zh-TW""),"""")"),"碰見")</f>
        <v>碰見</v>
      </c>
      <c r="D133" s="7" t="str">
        <f>IFERROR(__xludf.DUMMYFUNCTION("IF(B133&lt;&gt;"""",GOOGLETRANSLATE(B133,""zh"",""en""),"""")"),"meet")</f>
        <v>meet</v>
      </c>
    </row>
    <row r="134" ht="15.75" customHeight="1">
      <c r="B134" s="5" t="s">
        <v>135</v>
      </c>
      <c r="C134" s="6" t="str">
        <f>IFERROR(__xludf.DUMMYFUNCTION("IF(B134&lt;&gt;"""",GOOGLETRANSLATE(B134,""zh"",""zh-TW""),"""")"),"活力")</f>
        <v>活力</v>
      </c>
      <c r="D134" s="7" t="str">
        <f>IFERROR(__xludf.DUMMYFUNCTION("IF(B134&lt;&gt;"""",GOOGLETRANSLATE(B134,""zh"",""en""),"""")"),"vitality")</f>
        <v>vitality</v>
      </c>
    </row>
    <row r="135" ht="15.75" customHeight="1">
      <c r="B135" s="5" t="s">
        <v>136</v>
      </c>
      <c r="C135" s="6" t="str">
        <f>IFERROR(__xludf.DUMMYFUNCTION("IF(B135&lt;&gt;"""",GOOGLETRANSLATE(B135,""zh"",""zh-TW""),"""")"),"倍")</f>
        <v>倍</v>
      </c>
      <c r="D135" s="7" t="str">
        <f>IFERROR(__xludf.DUMMYFUNCTION("IF(B135&lt;&gt;"""",GOOGLETRANSLATE(B135,""zh"",""en""),"""")"),"Double")</f>
        <v>Double</v>
      </c>
    </row>
    <row r="136" ht="15.75" customHeight="1">
      <c r="B136" s="5" t="s">
        <v>137</v>
      </c>
      <c r="C136" s="6" t="str">
        <f>IFERROR(__xludf.DUMMYFUNCTION("IF(B136&lt;&gt;"""",GOOGLETRANSLATE(B136,""zh"",""zh-TW""),"""")"),"態度")</f>
        <v>態度</v>
      </c>
      <c r="D136" s="7" t="str">
        <f>IFERROR(__xludf.DUMMYFUNCTION("IF(B136&lt;&gt;"""",GOOGLETRANSLATE(B136,""zh"",""en""),"""")"),"manner")</f>
        <v>manner</v>
      </c>
    </row>
    <row r="137" ht="15.75" customHeight="1">
      <c r="B137" s="5" t="s">
        <v>138</v>
      </c>
      <c r="C137" s="6" t="str">
        <f>IFERROR(__xludf.DUMMYFUNCTION("IF(B137&lt;&gt;"""",GOOGLETRANSLATE(B137,""zh"",""zh-TW""),"""")"),"提條件")</f>
        <v>提條件</v>
      </c>
      <c r="D137" s="7" t="str">
        <f>IFERROR(__xludf.DUMMYFUNCTION("IF(B137&lt;&gt;"""",GOOGLETRANSLATE(B137,""zh"",""en""),"""")"),"Conditional")</f>
        <v>Conditional</v>
      </c>
    </row>
    <row r="138" ht="15.75" customHeight="1">
      <c r="B138" s="5" t="s">
        <v>139</v>
      </c>
      <c r="C138" s="6" t="str">
        <f>IFERROR(__xludf.DUMMYFUNCTION("IF(B138&lt;&gt;"""",GOOGLETRANSLATE(B138,""zh"",""zh-TW""),"""")"),"心事")</f>
        <v>心事</v>
      </c>
      <c r="D138" s="7" t="str">
        <f>IFERROR(__xludf.DUMMYFUNCTION("IF(B138&lt;&gt;"""",GOOGLETRANSLATE(B138,""zh"",""en""),"""")"),"Mind")</f>
        <v>Mind</v>
      </c>
    </row>
    <row r="139" ht="15.75" customHeight="1">
      <c r="B139" s="5" t="s">
        <v>140</v>
      </c>
      <c r="C139" s="6" t="str">
        <f>IFERROR(__xludf.DUMMYFUNCTION("IF(B139&lt;&gt;"""",GOOGLETRANSLATE(B139,""zh"",""zh-TW""),"""")"),"心情")</f>
        <v>心情</v>
      </c>
      <c r="D139" s="7" t="str">
        <f>IFERROR(__xludf.DUMMYFUNCTION("IF(B139&lt;&gt;"""",GOOGLETRANSLATE(B139,""zh"",""en""),"""")"),"Feeling")</f>
        <v>Feeling</v>
      </c>
    </row>
    <row r="140" ht="15.75" customHeight="1">
      <c r="B140" s="5" t="s">
        <v>141</v>
      </c>
      <c r="C140" s="6" t="str">
        <f>IFERROR(__xludf.DUMMYFUNCTION("IF(B140&lt;&gt;"""",GOOGLETRANSLATE(B140,""zh"",""zh-TW""),"""")"),"影響")</f>
        <v>影響</v>
      </c>
      <c r="D140" s="7" t="str">
        <f>IFERROR(__xludf.DUMMYFUNCTION("IF(B140&lt;&gt;"""",GOOGLETRANSLATE(B140,""zh"",""en""),"""")"),"Influence")</f>
        <v>Influence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