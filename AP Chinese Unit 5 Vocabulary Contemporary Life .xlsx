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imvXEvLfrhI4WAIILOFtCcNd9cFT9UYQ/uLXOMKUAE="/>
    </ext>
  </extLst>
</workbook>
</file>

<file path=xl/sharedStrings.xml><?xml version="1.0" encoding="utf-8"?>
<sst xmlns="http://schemas.openxmlformats.org/spreadsheetml/2006/main" count="158" uniqueCount="145">
  <si>
    <t>拼音</t>
  </si>
  <si>
    <t>中文简体</t>
  </si>
  <si>
    <t>中文繁体</t>
  </si>
  <si>
    <t>英文</t>
  </si>
  <si>
    <t>搬家</t>
  </si>
  <si>
    <t>帮忙</t>
  </si>
  <si>
    <t>帮助</t>
  </si>
  <si>
    <t>抱怨</t>
  </si>
  <si>
    <t>标准</t>
  </si>
  <si>
    <t>长江</t>
  </si>
  <si>
    <t>黄河</t>
  </si>
  <si>
    <t>超市</t>
  </si>
  <si>
    <t>吵架</t>
  </si>
  <si>
    <t>出差</t>
  </si>
  <si>
    <t>出发</t>
  </si>
  <si>
    <t>吹（了）</t>
  </si>
  <si>
    <t>存款</t>
  </si>
  <si>
    <t>答应</t>
  </si>
  <si>
    <t>打交道</t>
  </si>
  <si>
    <t>打呼噜</t>
  </si>
  <si>
    <t>大男子主义</t>
  </si>
  <si>
    <t>道理</t>
  </si>
  <si>
    <t>道歉</t>
  </si>
  <si>
    <t>地理</t>
  </si>
  <si>
    <t>地形</t>
  </si>
  <si>
    <t>栋</t>
  </si>
  <si>
    <t>丢三拉四</t>
  </si>
  <si>
    <t>逗</t>
  </si>
  <si>
    <t>短期</t>
  </si>
  <si>
    <t>锻炼</t>
  </si>
  <si>
    <t>对面</t>
  </si>
  <si>
    <t>爱好</t>
  </si>
  <si>
    <t xml:space="preserve">被子 </t>
  </si>
  <si>
    <t>毕业</t>
  </si>
  <si>
    <t>迟到</t>
  </si>
  <si>
    <t>贷款</t>
  </si>
  <si>
    <t>读书</t>
  </si>
  <si>
    <t>负担</t>
  </si>
  <si>
    <t>钢琴</t>
  </si>
  <si>
    <t>翻译</t>
  </si>
  <si>
    <t>儿童</t>
  </si>
  <si>
    <t>分手</t>
  </si>
  <si>
    <t>反对</t>
  </si>
  <si>
    <t>高中</t>
  </si>
  <si>
    <t>火车</t>
  </si>
  <si>
    <t>工资</t>
  </si>
  <si>
    <t>过节</t>
  </si>
  <si>
    <t>家庭</t>
  </si>
  <si>
    <t>家教</t>
  </si>
  <si>
    <t>家乡</t>
  </si>
  <si>
    <t>价格</t>
  </si>
  <si>
    <t>价钱</t>
  </si>
  <si>
    <t>减轻</t>
  </si>
  <si>
    <t>金融</t>
  </si>
  <si>
    <t>经验</t>
  </si>
  <si>
    <t>开学</t>
  </si>
  <si>
    <t>放学</t>
  </si>
  <si>
    <t>开玩笑</t>
  </si>
  <si>
    <t>空调</t>
  </si>
  <si>
    <t>垃圾</t>
  </si>
  <si>
    <t>零食</t>
  </si>
  <si>
    <t>饮食</t>
  </si>
  <si>
    <t>零用钱</t>
  </si>
  <si>
    <t>旅游</t>
  </si>
  <si>
    <t>名牌</t>
  </si>
  <si>
    <t>毛衣</t>
  </si>
  <si>
    <t>日用品</t>
  </si>
  <si>
    <t>生气</t>
  </si>
  <si>
    <t>省钱</t>
  </si>
  <si>
    <t>洗衣机</t>
  </si>
  <si>
    <t xml:space="preserve">洗衣粉  </t>
  </si>
  <si>
    <t>赚钱</t>
  </si>
  <si>
    <t>现金</t>
  </si>
  <si>
    <t>牙膏</t>
  </si>
  <si>
    <t>钥匙</t>
  </si>
  <si>
    <t>衣柜</t>
  </si>
  <si>
    <t>礼物</t>
  </si>
  <si>
    <t>牛仔裤</t>
  </si>
  <si>
    <t>牌子</t>
  </si>
  <si>
    <t>清淡</t>
  </si>
  <si>
    <t>清蒸</t>
  </si>
  <si>
    <t>轻松</t>
  </si>
  <si>
    <t>生活</t>
  </si>
  <si>
    <t>时髦</t>
  </si>
  <si>
    <t>时代</t>
  </si>
  <si>
    <t>适合</t>
  </si>
  <si>
    <t>适应</t>
  </si>
  <si>
    <t xml:space="preserve">事情 </t>
  </si>
  <si>
    <t>书本</t>
  </si>
  <si>
    <t>数字</t>
  </si>
  <si>
    <t>四季如春</t>
  </si>
  <si>
    <t>态度</t>
  </si>
  <si>
    <t>谈</t>
  </si>
  <si>
    <t>毯子</t>
  </si>
  <si>
    <t>讨论</t>
  </si>
  <si>
    <t>T恤衫</t>
  </si>
  <si>
    <t>童年</t>
  </si>
  <si>
    <t>外卖</t>
  </si>
  <si>
    <t>卫生纸</t>
  </si>
  <si>
    <t>文具</t>
  </si>
  <si>
    <t>文学</t>
  </si>
  <si>
    <t>文章</t>
  </si>
  <si>
    <t>屋子</t>
  </si>
  <si>
    <t>物价廉美</t>
  </si>
  <si>
    <t>咸</t>
  </si>
  <si>
    <t>嫌</t>
  </si>
  <si>
    <t>相处</t>
  </si>
  <si>
    <t>安全</t>
  </si>
  <si>
    <t>出生</t>
  </si>
  <si>
    <t>纯棉</t>
  </si>
  <si>
    <t>待</t>
  </si>
  <si>
    <t>发生</t>
  </si>
  <si>
    <t>敢</t>
  </si>
  <si>
    <t>感觉</t>
  </si>
  <si>
    <t>害</t>
  </si>
  <si>
    <t>好处</t>
  </si>
  <si>
    <t>建议</t>
  </si>
  <si>
    <t>将来</t>
  </si>
  <si>
    <t>交朋友</t>
  </si>
  <si>
    <t>借</t>
  </si>
  <si>
    <t>开朗</t>
  </si>
  <si>
    <t>考虑</t>
  </si>
  <si>
    <t>老是</t>
  </si>
  <si>
    <t>理解</t>
  </si>
  <si>
    <t>良好</t>
  </si>
  <si>
    <t>落伍</t>
  </si>
  <si>
    <t>马虎</t>
  </si>
  <si>
    <t>毛巾</t>
  </si>
  <si>
    <t>免费</t>
  </si>
  <si>
    <t>名牌（儿）</t>
  </si>
  <si>
    <t>欠</t>
  </si>
  <si>
    <t>收入</t>
  </si>
  <si>
    <t>香</t>
  </si>
  <si>
    <t>心</t>
  </si>
  <si>
    <t>主意</t>
  </si>
  <si>
    <t>主要</t>
  </si>
  <si>
    <t>盒饭</t>
  </si>
  <si>
    <t>领导</t>
  </si>
  <si>
    <t>麻将</t>
  </si>
  <si>
    <t>碰见</t>
  </si>
  <si>
    <t>爬山</t>
  </si>
  <si>
    <t>亲眼（看到）</t>
  </si>
  <si>
    <t>劝</t>
  </si>
  <si>
    <t>散步</t>
  </si>
  <si>
    <t>退休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</si>
</sst>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9.0"/>
      <color rgb="FF000000"/>
      <name val="&quot;Google Sans Mono&quot;"/>
    </font>
    <font>
      <strike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3" fontId="2" numFmtId="0" xfId="0" applyFill="1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8.63"/>
    <col customWidth="1" min="5" max="7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2"/>
      <c r="B2" s="2" t="s">
        <v>4</v>
      </c>
      <c r="C2" s="3" t="str">
        <f>IFERROR(__xludf.DUMMYFUNCTION("IF(B2&lt;&gt;"""",GOOGLETRANSLATE(B2,""zh"",""zh-TW""),"""")"),"搬家")</f>
        <v>搬家</v>
      </c>
      <c r="D2" s="2" t="str">
        <f>IFERROR(__xludf.DUMMYFUNCTION("IF(B2&lt;&gt;"""",GOOGLETRANSLATE(B2,""zh"",""en""),"""")"),"move place")</f>
        <v>move place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2"/>
      <c r="B3" s="2" t="s">
        <v>5</v>
      </c>
      <c r="C3" s="3" t="str">
        <f>IFERROR(__xludf.DUMMYFUNCTION("IF(B3&lt;&gt;"""",GOOGLETRANSLATE(B3,""zh"",""zh-TW""),"""")"),"幫忙")</f>
        <v>幫忙</v>
      </c>
      <c r="D3" s="2" t="str">
        <f>IFERROR(__xludf.DUMMYFUNCTION("IF(B3&lt;&gt;"""",GOOGLETRANSLATE(B3,""zh"",""en""),"""")"),"help")</f>
        <v>help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2"/>
      <c r="B4" s="2" t="s">
        <v>6</v>
      </c>
      <c r="C4" s="3" t="str">
        <f>IFERROR(__xludf.DUMMYFUNCTION("IF(B4&lt;&gt;"""",GOOGLETRANSLATE(B4,""zh"",""zh-TW""),"""")"),"幫助")</f>
        <v>幫助</v>
      </c>
      <c r="D4" s="2" t="str">
        <f>IFERROR(__xludf.DUMMYFUNCTION("IF(B4&lt;&gt;"""",GOOGLETRANSLATE(B4,""zh"",""en""),"""")"),"help")</f>
        <v>help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2"/>
      <c r="B5" s="2" t="s">
        <v>7</v>
      </c>
      <c r="C5" s="3" t="str">
        <f>IFERROR(__xludf.DUMMYFUNCTION("IF(B5&lt;&gt;"""",GOOGLETRANSLATE(B5,""zh"",""zh-TW""),"""")"),"抱怨")</f>
        <v>抱怨</v>
      </c>
      <c r="D5" s="2" t="str">
        <f>IFERROR(__xludf.DUMMYFUNCTION("IF(B5&lt;&gt;"""",GOOGLETRANSLATE(B5,""zh"",""en""),"""")"),"complain")</f>
        <v>complain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2"/>
      <c r="B6" s="2" t="s">
        <v>8</v>
      </c>
      <c r="C6" s="3" t="str">
        <f>IFERROR(__xludf.DUMMYFUNCTION("IF(B6&lt;&gt;"""",GOOGLETRANSLATE(B6,""zh"",""zh-TW""),"""")"),"標準")</f>
        <v>標準</v>
      </c>
      <c r="D6" s="2" t="str">
        <f>IFERROR(__xludf.DUMMYFUNCTION("IF(B6&lt;&gt;"""",GOOGLETRANSLATE(B6,""zh"",""en""),"""")"),"standard")</f>
        <v>standard</v>
      </c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2"/>
      <c r="B7" s="2" t="s">
        <v>9</v>
      </c>
      <c r="C7" s="3" t="str">
        <f>IFERROR(__xludf.DUMMYFUNCTION("IF(B7&lt;&gt;"""",GOOGLETRANSLATE(B7,""zh"",""zh-TW""),"""")"),"長江")</f>
        <v>長江</v>
      </c>
      <c r="D7" s="2" t="str">
        <f>IFERROR(__xludf.DUMMYFUNCTION("IF(B7&lt;&gt;"""",GOOGLETRANSLATE(B7,""zh"",""en""),"""")"),"Yangtze")</f>
        <v>Yangtze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2"/>
      <c r="B8" s="2" t="s">
        <v>10</v>
      </c>
      <c r="C8" s="3" t="str">
        <f>IFERROR(__xludf.DUMMYFUNCTION("IF(B8&lt;&gt;"""",GOOGLETRANSLATE(B8,""zh"",""zh-TW""),"""")"),"黃河")</f>
        <v>黃河</v>
      </c>
      <c r="D8" s="2" t="str">
        <f>IFERROR(__xludf.DUMMYFUNCTION("IF(B8&lt;&gt;"""",GOOGLETRANSLATE(B8,""zh"",""en""),"""")"),"Yellow River")</f>
        <v>Yellow River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2"/>
      <c r="B9" s="2" t="s">
        <v>11</v>
      </c>
      <c r="C9" s="3" t="str">
        <f>IFERROR(__xludf.DUMMYFUNCTION("IF(B9&lt;&gt;"""",GOOGLETRANSLATE(B9,""zh"",""zh-TW""),"""")"),"超市")</f>
        <v>超市</v>
      </c>
      <c r="D9" s="2" t="str">
        <f>IFERROR(__xludf.DUMMYFUNCTION("IF(B9&lt;&gt;"""",GOOGLETRANSLATE(B9,""zh"",""en""),"""")"),"supermarket")</f>
        <v>supermarket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2"/>
      <c r="B10" s="2" t="s">
        <v>12</v>
      </c>
      <c r="C10" s="3" t="str">
        <f>IFERROR(__xludf.DUMMYFUNCTION("IF(B10&lt;&gt;"""",GOOGLETRANSLATE(B10,""zh"",""zh-TW""),"""")"),"吵架")</f>
        <v>吵架</v>
      </c>
      <c r="D10" s="2" t="str">
        <f>IFERROR(__xludf.DUMMYFUNCTION("IF(B10&lt;&gt;"""",GOOGLETRANSLATE(B10,""zh"",""en""),"""")"),"quarrel")</f>
        <v>quarrel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2"/>
      <c r="B11" s="2" t="s">
        <v>13</v>
      </c>
      <c r="C11" s="3" t="str">
        <f>IFERROR(__xludf.DUMMYFUNCTION("IF(B11&lt;&gt;"""",GOOGLETRANSLATE(B11,""zh"",""zh-TW""),"""")"),"出差")</f>
        <v>出差</v>
      </c>
      <c r="D11" s="2" t="str">
        <f>IFERROR(__xludf.DUMMYFUNCTION("IF(B11&lt;&gt;"""",GOOGLETRANSLATE(B11,""zh"",""en""),"""")"),"On business trip")</f>
        <v>On business trip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2"/>
      <c r="B12" s="2" t="s">
        <v>14</v>
      </c>
      <c r="C12" s="3" t="str">
        <f>IFERROR(__xludf.DUMMYFUNCTION("IF(B12&lt;&gt;"""",GOOGLETRANSLATE(B12,""zh"",""zh-TW""),"""")"),"出發")</f>
        <v>出發</v>
      </c>
      <c r="D12" s="2" t="str">
        <f>IFERROR(__xludf.DUMMYFUNCTION("IF(B12&lt;&gt;"""",GOOGLETRANSLATE(B12,""zh"",""en""),"""")"),"Set off")</f>
        <v>Set off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2"/>
      <c r="B13" s="2" t="s">
        <v>15</v>
      </c>
      <c r="C13" s="3" t="str">
        <f>IFERROR(__xludf.DUMMYFUNCTION("IF(B13&lt;&gt;"""",GOOGLETRANSLATE(B13,""zh"",""zh-TW""),"""")"),"吹（了）")</f>
        <v>吹（了）</v>
      </c>
      <c r="D13" s="2" t="str">
        <f>IFERROR(__xludf.DUMMYFUNCTION("IF(B13&lt;&gt;"""",GOOGLETRANSLATE(B13,""zh"",""en""),"""")"),"Blow)")</f>
        <v>Blow)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2"/>
      <c r="B14" s="2" t="s">
        <v>16</v>
      </c>
      <c r="C14" s="3" t="str">
        <f>IFERROR(__xludf.DUMMYFUNCTION("IF(B14&lt;&gt;"""",GOOGLETRANSLATE(B14,""zh"",""zh-TW""),"""")"),"存款")</f>
        <v>存款</v>
      </c>
      <c r="D14" s="2" t="str">
        <f>IFERROR(__xludf.DUMMYFUNCTION("IF(B14&lt;&gt;"""",GOOGLETRANSLATE(B14,""zh"",""en""),"""")"),"deposit")</f>
        <v>deposit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2"/>
      <c r="B15" s="2" t="s">
        <v>17</v>
      </c>
      <c r="C15" s="3" t="str">
        <f>IFERROR(__xludf.DUMMYFUNCTION("IF(B15&lt;&gt;"""",GOOGLETRANSLATE(B15,""zh"",""zh-TW""),"""")"),"答應")</f>
        <v>答應</v>
      </c>
      <c r="D15" s="2" t="str">
        <f>IFERROR(__xludf.DUMMYFUNCTION("IF(B15&lt;&gt;"""",GOOGLETRANSLATE(B15,""zh"",""en""),"""")"),"promise")</f>
        <v>promise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2"/>
      <c r="B16" s="2" t="s">
        <v>18</v>
      </c>
      <c r="C16" s="3" t="str">
        <f>IFERROR(__xludf.DUMMYFUNCTION("IF(B16&lt;&gt;"""",GOOGLETRANSLATE(B16,""zh"",""zh-TW""),"""")"),"打交道")</f>
        <v>打交道</v>
      </c>
      <c r="D16" s="2" t="str">
        <f>IFERROR(__xludf.DUMMYFUNCTION("IF(B16&lt;&gt;"""",GOOGLETRANSLATE(B16,""zh"",""en""),"""")"),"Deal")</f>
        <v>Deal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2"/>
      <c r="B17" s="2" t="s">
        <v>19</v>
      </c>
      <c r="C17" s="3" t="str">
        <f>IFERROR(__xludf.DUMMYFUNCTION("IF(B17&lt;&gt;"""",GOOGLETRANSLATE(B17,""zh"",""zh-TW""),"""")"),"打呼嚕")</f>
        <v>打呼嚕</v>
      </c>
      <c r="D17" s="2" t="str">
        <f>IFERROR(__xludf.DUMMYFUNCTION("IF(B17&lt;&gt;"""",GOOGLETRANSLATE(B17,""zh"",""en""),"""")"),"Snoring")</f>
        <v>Snoring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2"/>
      <c r="B18" s="2" t="s">
        <v>20</v>
      </c>
      <c r="C18" s="3" t="str">
        <f>IFERROR(__xludf.DUMMYFUNCTION("IF(B18&lt;&gt;"""",GOOGLETRANSLATE(B18,""zh"",""zh-TW""),"""")"),"大男子主義")</f>
        <v>大男子主義</v>
      </c>
      <c r="D18" s="2" t="str">
        <f>IFERROR(__xludf.DUMMYFUNCTION("IF(B18&lt;&gt;"""",GOOGLETRANSLATE(B18,""zh"",""en""),"""")"),"Machismo")</f>
        <v>Machismo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"/>
      <c r="B19" s="2" t="s">
        <v>21</v>
      </c>
      <c r="C19" s="3" t="str">
        <f>IFERROR(__xludf.DUMMYFUNCTION("IF(B19&lt;&gt;"""",GOOGLETRANSLATE(B19,""zh"",""zh-TW""),"""")"),"道理")</f>
        <v>道理</v>
      </c>
      <c r="D19" s="2" t="str">
        <f>IFERROR(__xludf.DUMMYFUNCTION("IF(B19&lt;&gt;"""",GOOGLETRANSLATE(B19,""zh"",""en""),"""")"),"reason")</f>
        <v>reason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2"/>
      <c r="B20" s="2" t="s">
        <v>22</v>
      </c>
      <c r="C20" s="3" t="str">
        <f>IFERROR(__xludf.DUMMYFUNCTION("IF(B20&lt;&gt;"""",GOOGLETRANSLATE(B20,""zh"",""zh-TW""),"""")"),"道歉")</f>
        <v>道歉</v>
      </c>
      <c r="D20" s="2" t="str">
        <f>IFERROR(__xludf.DUMMYFUNCTION("IF(B20&lt;&gt;"""",GOOGLETRANSLATE(B20,""zh"",""en""),"""")"),"Apologize")</f>
        <v>Apologize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" t="s">
        <v>23</v>
      </c>
      <c r="C21" s="3" t="str">
        <f>IFERROR(__xludf.DUMMYFUNCTION("IF(B21&lt;&gt;"""",GOOGLETRANSLATE(B21,""zh"",""zh-TW""),"""")"),"地理")</f>
        <v>地理</v>
      </c>
      <c r="D21" s="2" t="str">
        <f>IFERROR(__xludf.DUMMYFUNCTION("IF(B21&lt;&gt;"""",GOOGLETRANSLATE(B21,""zh"",""en""),"""")"),"geography")</f>
        <v>geography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" t="s">
        <v>24</v>
      </c>
      <c r="C22" s="3" t="str">
        <f>IFERROR(__xludf.DUMMYFUNCTION("IF(B22&lt;&gt;"""",GOOGLETRANSLATE(B22,""zh"",""zh-TW""),"""")"),"地形")</f>
        <v>地形</v>
      </c>
      <c r="D22" s="2" t="str">
        <f>IFERROR(__xludf.DUMMYFUNCTION("IF(B22&lt;&gt;"""",GOOGLETRANSLATE(B22,""zh"",""en""),"""")"),"terrain")</f>
        <v>terrain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2" t="s">
        <v>25</v>
      </c>
      <c r="C23" s="3" t="str">
        <f>IFERROR(__xludf.DUMMYFUNCTION("IF(B23&lt;&gt;"""",GOOGLETRANSLATE(B23,""zh"",""zh-TW""),"""")"),"棟")</f>
        <v>棟</v>
      </c>
      <c r="D23" s="2" t="str">
        <f>IFERROR(__xludf.DUMMYFUNCTION("IF(B23&lt;&gt;"""",GOOGLETRANSLATE(B23,""zh"",""en""),"""")"),"Build")</f>
        <v>Build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2" t="s">
        <v>26</v>
      </c>
      <c r="C24" s="3" t="str">
        <f>IFERROR(__xludf.DUMMYFUNCTION("IF(B24&lt;&gt;"""",GOOGLETRANSLATE(B24,""zh"",""zh-TW""),"""")"),"丟三拉四")</f>
        <v>丟三拉四</v>
      </c>
      <c r="D24" s="2" t="str">
        <f>IFERROR(__xludf.DUMMYFUNCTION("IF(B24&lt;&gt;"""",GOOGLETRANSLATE(B24,""zh"",""en""),"""")"),"Losing things")</f>
        <v>Losing things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2" t="s">
        <v>27</v>
      </c>
      <c r="C25" s="3" t="str">
        <f>IFERROR(__xludf.DUMMYFUNCTION("IF(B25&lt;&gt;"""",GOOGLETRANSLATE(B25,""zh"",""zh-TW""),"""")"),"逗")</f>
        <v>逗</v>
      </c>
      <c r="D25" s="2" t="str">
        <f>IFERROR(__xludf.DUMMYFUNCTION("IF(B25&lt;&gt;"""",GOOGLETRANSLATE(B25,""zh"",""en""),"""")"),"tease")</f>
        <v>tease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2" t="s">
        <v>28</v>
      </c>
      <c r="C26" s="3" t="str">
        <f>IFERROR(__xludf.DUMMYFUNCTION("IF(B26&lt;&gt;"""",GOOGLETRANSLATE(B26,""zh"",""zh-TW""),"""")"),"短期")</f>
        <v>短期</v>
      </c>
      <c r="D26" s="2" t="str">
        <f>IFERROR(__xludf.DUMMYFUNCTION("IF(B26&lt;&gt;"""",GOOGLETRANSLATE(B26,""zh"",""en""),"""")"),"short term")</f>
        <v>short term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2" t="s">
        <v>29</v>
      </c>
      <c r="C27" s="3" t="str">
        <f>IFERROR(__xludf.DUMMYFUNCTION("IF(B27&lt;&gt;"""",GOOGLETRANSLATE(B27,""zh"",""zh-TW""),"""")"),"鍛煉")</f>
        <v>鍛煉</v>
      </c>
      <c r="D27" s="2" t="str">
        <f>IFERROR(__xludf.DUMMYFUNCTION("IF(B27&lt;&gt;"""",GOOGLETRANSLATE(B27,""zh"",""en""),"""")"),"exercise")</f>
        <v>exercise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2" t="s">
        <v>30</v>
      </c>
      <c r="C28" s="3" t="str">
        <f>IFERROR(__xludf.DUMMYFUNCTION("IF(B28&lt;&gt;"""",GOOGLETRANSLATE(B28,""zh"",""zh-TW""),"""")"),"對面")</f>
        <v>對面</v>
      </c>
      <c r="D28" s="2" t="str">
        <f>IFERROR(__xludf.DUMMYFUNCTION("IF(B28&lt;&gt;"""",GOOGLETRANSLATE(B28,""zh"",""en""),"""")"),"opposite")</f>
        <v>opposite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 t="s">
        <v>31</v>
      </c>
      <c r="C29" s="3" t="str">
        <f>IFERROR(__xludf.DUMMYFUNCTION("IF(B29&lt;&gt;"""",GOOGLETRANSLATE(B29,""zh"",""zh-TW""),"""")"),"愛好")</f>
        <v>愛好</v>
      </c>
      <c r="D29" s="2" t="str">
        <f>IFERROR(__xludf.DUMMYFUNCTION("IF(B29&lt;&gt;"""",GOOGLETRANSLATE(B29,""zh"",""en""),"""")"),"Hobby")</f>
        <v>Hobby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 t="s">
        <v>32</v>
      </c>
      <c r="C30" s="3" t="str">
        <f>IFERROR(__xludf.DUMMYFUNCTION("IF(B30&lt;&gt;"""",GOOGLETRANSLATE(B30,""zh"",""zh-TW""),"""")"),"被子 ")</f>
        <v>被子 </v>
      </c>
      <c r="D30" s="2" t="str">
        <f>IFERROR(__xludf.DUMMYFUNCTION("IF(B30&lt;&gt;"""",GOOGLETRANSLATE(B30,""zh"",""en""),"""")"),"Quilt ")</f>
        <v>Quilt 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 t="s">
        <v>33</v>
      </c>
      <c r="C31" s="3" t="str">
        <f>IFERROR(__xludf.DUMMYFUNCTION("IF(B31&lt;&gt;"""",GOOGLETRANSLATE(B31,""zh"",""zh-TW""),"""")"),"畢業")</f>
        <v>畢業</v>
      </c>
      <c r="D31" s="2" t="str">
        <f>IFERROR(__xludf.DUMMYFUNCTION("IF(B31&lt;&gt;"""",GOOGLETRANSLATE(B31,""zh"",""en""),"""")"),"graduate")</f>
        <v>graduate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 t="s">
        <v>12</v>
      </c>
      <c r="C32" s="3" t="str">
        <f>IFERROR(__xludf.DUMMYFUNCTION("IF(B32&lt;&gt;"""",GOOGLETRANSLATE(B32,""zh"",""zh-TW""),"""")"),"吵架")</f>
        <v>吵架</v>
      </c>
      <c r="D32" s="2" t="str">
        <f>IFERROR(__xludf.DUMMYFUNCTION("IF(B32&lt;&gt;"""",GOOGLETRANSLATE(B32,""zh"",""en""),"""")"),"quarrel")</f>
        <v>quarrel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 t="s">
        <v>34</v>
      </c>
      <c r="C33" s="3" t="str">
        <f>IFERROR(__xludf.DUMMYFUNCTION("IF(B33&lt;&gt;"""",GOOGLETRANSLATE(B33,""zh"",""zh-TW""),"""")"),"遲到")</f>
        <v>遲到</v>
      </c>
      <c r="D33" s="2" t="str">
        <f>IFERROR(__xludf.DUMMYFUNCTION("IF(B33&lt;&gt;"""",GOOGLETRANSLATE(B33,""zh"",""en""),"""")"),"be late")</f>
        <v>be late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 t="s">
        <v>35</v>
      </c>
      <c r="C34" s="3" t="str">
        <f>IFERROR(__xludf.DUMMYFUNCTION("IF(B34&lt;&gt;"""",GOOGLETRANSLATE(B34,""zh"",""zh-TW""),"""")"),"貸款")</f>
        <v>貸款</v>
      </c>
      <c r="D34" s="2" t="str">
        <f>IFERROR(__xludf.DUMMYFUNCTION("IF(B34&lt;&gt;"""",GOOGLETRANSLATE(B34,""zh"",""en""),"""")"),"loan")</f>
        <v>loan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 t="s">
        <v>36</v>
      </c>
      <c r="C35" s="3" t="str">
        <f>IFERROR(__xludf.DUMMYFUNCTION("IF(B35&lt;&gt;"""",GOOGLETRANSLATE(B35,""zh"",""zh-TW""),"""")"),"讀書")</f>
        <v>讀書</v>
      </c>
      <c r="D35" s="2" t="str">
        <f>IFERROR(__xludf.DUMMYFUNCTION("IF(B35&lt;&gt;"""",GOOGLETRANSLATE(B35,""zh"",""en""),"""")"),"read")</f>
        <v>read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 t="s">
        <v>37</v>
      </c>
      <c r="C36" s="3" t="str">
        <f>IFERROR(__xludf.DUMMYFUNCTION("IF(B36&lt;&gt;"""",GOOGLETRANSLATE(B36,""zh"",""zh-TW""),"""")"),"負擔")</f>
        <v>負擔</v>
      </c>
      <c r="D36" s="2" t="str">
        <f>IFERROR(__xludf.DUMMYFUNCTION("IF(B36&lt;&gt;"""",GOOGLETRANSLATE(B36,""zh"",""en""),"""")"),"burden")</f>
        <v>burden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 t="s">
        <v>38</v>
      </c>
      <c r="C37" s="3" t="str">
        <f>IFERROR(__xludf.DUMMYFUNCTION("IF(B37&lt;&gt;"""",GOOGLETRANSLATE(B37,""zh"",""zh-TW""),"""")"),"鋼琴")</f>
        <v>鋼琴</v>
      </c>
      <c r="D37" s="2" t="str">
        <f>IFERROR(__xludf.DUMMYFUNCTION("IF(B37&lt;&gt;"""",GOOGLETRANSLATE(B37,""zh"",""en""),"""")"),"piano")</f>
        <v>piano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 t="s">
        <v>39</v>
      </c>
      <c r="C38" s="3" t="str">
        <f>IFERROR(__xludf.DUMMYFUNCTION("IF(B38&lt;&gt;"""",GOOGLETRANSLATE(B38,""zh"",""zh-TW""),"""")"),"翻譯")</f>
        <v>翻譯</v>
      </c>
      <c r="D38" s="2" t="str">
        <f>IFERROR(__xludf.DUMMYFUNCTION("IF(B38&lt;&gt;"""",GOOGLETRANSLATE(B38,""zh"",""en""),"""")"),"translate")</f>
        <v>translate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 t="s">
        <v>40</v>
      </c>
      <c r="C39" s="3" t="str">
        <f>IFERROR(__xludf.DUMMYFUNCTION("IF(B39&lt;&gt;"""",GOOGLETRANSLATE(B39,""zh"",""zh-TW""),"""")"),"兒童")</f>
        <v>兒童</v>
      </c>
      <c r="D39" s="2" t="str">
        <f>IFERROR(__xludf.DUMMYFUNCTION("IF(B39&lt;&gt;"""",GOOGLETRANSLATE(B39,""zh"",""en""),"""")"),"child")</f>
        <v>child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 t="s">
        <v>41</v>
      </c>
      <c r="C40" s="3" t="str">
        <f>IFERROR(__xludf.DUMMYFUNCTION("IF(B40&lt;&gt;"""",GOOGLETRANSLATE(B40,""zh"",""zh-TW""),"""")"),"分手")</f>
        <v>分手</v>
      </c>
      <c r="D40" s="2" t="str">
        <f>IFERROR(__xludf.DUMMYFUNCTION("IF(B40&lt;&gt;"""",GOOGLETRANSLATE(B40,""zh"",""en""),"""")"),"separate")</f>
        <v>separate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 t="s">
        <v>42</v>
      </c>
      <c r="C41" s="3" t="str">
        <f>IFERROR(__xludf.DUMMYFUNCTION("IF(B41&lt;&gt;"""",GOOGLETRANSLATE(B41,""zh"",""zh-TW""),"""")"),"反對")</f>
        <v>反對</v>
      </c>
      <c r="D41" s="2" t="str">
        <f>IFERROR(__xludf.DUMMYFUNCTION("IF(B41&lt;&gt;"""",GOOGLETRANSLATE(B41,""zh"",""en""),"""")"),"be opposed to")</f>
        <v>be opposed to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 t="s">
        <v>43</v>
      </c>
      <c r="C42" s="3" t="str">
        <f>IFERROR(__xludf.DUMMYFUNCTION("IF(B42&lt;&gt;"""",GOOGLETRANSLATE(B42,""zh"",""zh-TW""),"""")"),"高中")</f>
        <v>高中</v>
      </c>
      <c r="D42" s="2" t="str">
        <f>IFERROR(__xludf.DUMMYFUNCTION("IF(B42&lt;&gt;"""",GOOGLETRANSLATE(B42,""zh"",""en""),"""")"),"high school")</f>
        <v>high school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 t="s">
        <v>44</v>
      </c>
      <c r="C43" s="3" t="str">
        <f>IFERROR(__xludf.DUMMYFUNCTION("IF(B43&lt;&gt;"""",GOOGLETRANSLATE(B43,""zh"",""zh-TW""),"""")"),"火車")</f>
        <v>火車</v>
      </c>
      <c r="D43" s="2" t="str">
        <f>IFERROR(__xludf.DUMMYFUNCTION("IF(B43&lt;&gt;"""",GOOGLETRANSLATE(B43,""zh"",""en""),"""")"),"train")</f>
        <v>train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 t="s">
        <v>45</v>
      </c>
      <c r="C44" s="3" t="str">
        <f>IFERROR(__xludf.DUMMYFUNCTION("IF(B44&lt;&gt;"""",GOOGLETRANSLATE(B44,""zh"",""zh-TW""),"""")"),"工資")</f>
        <v>工資</v>
      </c>
      <c r="D44" s="2" t="str">
        <f>IFERROR(__xludf.DUMMYFUNCTION("IF(B44&lt;&gt;"""",GOOGLETRANSLATE(B44,""zh"",""en""),"""")"),"salary")</f>
        <v>salary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 t="s">
        <v>46</v>
      </c>
      <c r="C45" s="3" t="str">
        <f>IFERROR(__xludf.DUMMYFUNCTION("IF(B45&lt;&gt;"""",GOOGLETRANSLATE(B45,""zh"",""zh-TW""),"""")"),"過節")</f>
        <v>過節</v>
      </c>
      <c r="D45" s="2" t="str">
        <f>IFERROR(__xludf.DUMMYFUNCTION("IF(B45&lt;&gt;"""",GOOGLETRANSLATE(B45,""zh"",""en""),"""")"),"Holiday")</f>
        <v>Holiday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 t="s">
        <v>47</v>
      </c>
      <c r="C46" s="3" t="str">
        <f>IFERROR(__xludf.DUMMYFUNCTION("IF(B46&lt;&gt;"""",GOOGLETRANSLATE(B46,""zh"",""zh-TW""),"""")"),"家庭")</f>
        <v>家庭</v>
      </c>
      <c r="D46" s="2" t="str">
        <f>IFERROR(__xludf.DUMMYFUNCTION("IF(B46&lt;&gt;"""",GOOGLETRANSLATE(B46,""zh"",""en""),"""")"),"family")</f>
        <v>family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 t="s">
        <v>48</v>
      </c>
      <c r="C47" s="3" t="str">
        <f>IFERROR(__xludf.DUMMYFUNCTION("IF(B47&lt;&gt;"""",GOOGLETRANSLATE(B47,""zh"",""zh-TW""),"""")"),"家教")</f>
        <v>家教</v>
      </c>
      <c r="D47" s="2" t="str">
        <f>IFERROR(__xludf.DUMMYFUNCTION("IF(B47&lt;&gt;"""",GOOGLETRANSLATE(B47,""zh"",""en""),"""")"),"Tutor")</f>
        <v>Tutor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 t="s">
        <v>49</v>
      </c>
      <c r="C48" s="3" t="str">
        <f>IFERROR(__xludf.DUMMYFUNCTION("IF(B48&lt;&gt;"""",GOOGLETRANSLATE(B48,""zh"",""zh-TW""),"""")"),"家鄉")</f>
        <v>家鄉</v>
      </c>
      <c r="D48" s="2" t="str">
        <f>IFERROR(__xludf.DUMMYFUNCTION("IF(B48&lt;&gt;"""",GOOGLETRANSLATE(B48,""zh"",""en""),"""")"),"hometown")</f>
        <v>hometown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 t="s">
        <v>50</v>
      </c>
      <c r="C49" s="3" t="str">
        <f>IFERROR(__xludf.DUMMYFUNCTION("IF(B49&lt;&gt;"""",GOOGLETRANSLATE(B49,""zh"",""zh-TW""),"""")"),"價格")</f>
        <v>價格</v>
      </c>
      <c r="D49" s="2" t="str">
        <f>IFERROR(__xludf.DUMMYFUNCTION("IF(B49&lt;&gt;"""",GOOGLETRANSLATE(B49,""zh"",""en""),"""")"),"price")</f>
        <v>price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 t="s">
        <v>51</v>
      </c>
      <c r="C50" s="3" t="str">
        <f>IFERROR(__xludf.DUMMYFUNCTION("IF(B50&lt;&gt;"""",GOOGLETRANSLATE(B50,""zh"",""zh-TW""),"""")"),"價錢")</f>
        <v>價錢</v>
      </c>
      <c r="D50" s="2" t="str">
        <f>IFERROR(__xludf.DUMMYFUNCTION("IF(B50&lt;&gt;"""",GOOGLETRANSLATE(B50,""zh"",""en""),"""")"),"Price")</f>
        <v>Price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 t="s">
        <v>52</v>
      </c>
      <c r="C51" s="3" t="str">
        <f>IFERROR(__xludf.DUMMYFUNCTION("IF(B51&lt;&gt;"""",GOOGLETRANSLATE(B51,""zh"",""zh-TW""),"""")"),"減輕")</f>
        <v>減輕</v>
      </c>
      <c r="D51" s="2" t="str">
        <f>IFERROR(__xludf.DUMMYFUNCTION("IF(B51&lt;&gt;"""",GOOGLETRANSLATE(B51,""zh"",""en""),"""")"),"Reducing")</f>
        <v>Reducing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 t="s">
        <v>53</v>
      </c>
      <c r="C52" s="3" t="str">
        <f>IFERROR(__xludf.DUMMYFUNCTION("IF(B52&lt;&gt;"""",GOOGLETRANSLATE(B52,""zh"",""zh-TW""),"""")"),"金融")</f>
        <v>金融</v>
      </c>
      <c r="D52" s="2" t="str">
        <f>IFERROR(__xludf.DUMMYFUNCTION("IF(B52&lt;&gt;"""",GOOGLETRANSLATE(B52,""zh"",""en""),"""")"),"finance")</f>
        <v>finance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 t="s">
        <v>54</v>
      </c>
      <c r="C53" s="3" t="str">
        <f>IFERROR(__xludf.DUMMYFUNCTION("IF(B53&lt;&gt;"""",GOOGLETRANSLATE(B53,""zh"",""zh-TW""),"""")"),"經驗")</f>
        <v>經驗</v>
      </c>
      <c r="D53" s="2" t="str">
        <f>IFERROR(__xludf.DUMMYFUNCTION("IF(B53&lt;&gt;"""",GOOGLETRANSLATE(B53,""zh"",""en""),"""")"),"experience")</f>
        <v>experience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 t="s">
        <v>55</v>
      </c>
      <c r="C54" s="3" t="str">
        <f>IFERROR(__xludf.DUMMYFUNCTION("IF(B54&lt;&gt;"""",GOOGLETRANSLATE(B54,""zh"",""zh-TW""),"""")"),"開學")</f>
        <v>開學</v>
      </c>
      <c r="D54" s="2" t="str">
        <f>IFERROR(__xludf.DUMMYFUNCTION("IF(B54&lt;&gt;"""",GOOGLETRANSLATE(B54,""zh"",""en""),"""")"),"Start school")</f>
        <v>Start school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 t="s">
        <v>56</v>
      </c>
      <c r="C55" s="3" t="str">
        <f>IFERROR(__xludf.DUMMYFUNCTION("IF(B55&lt;&gt;"""",GOOGLETRANSLATE(B55,""zh"",""zh-TW""),"""")"),"放學")</f>
        <v>放學</v>
      </c>
      <c r="D55" s="2" t="str">
        <f>IFERROR(__xludf.DUMMYFUNCTION("IF(B55&lt;&gt;"""",GOOGLETRANSLATE(B55,""zh"",""en""),"""")"),"School")</f>
        <v>School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 t="s">
        <v>57</v>
      </c>
      <c r="C56" s="3" t="str">
        <f>IFERROR(__xludf.DUMMYFUNCTION("IF(B56&lt;&gt;"""",GOOGLETRANSLATE(B56,""zh"",""zh-TW""),"""")"),"開玩笑")</f>
        <v>開玩笑</v>
      </c>
      <c r="D56" s="2" t="str">
        <f>IFERROR(__xludf.DUMMYFUNCTION("IF(B56&lt;&gt;"""",GOOGLETRANSLATE(B56,""zh"",""en""),"""")"),"joke")</f>
        <v>joke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 t="s">
        <v>58</v>
      </c>
      <c r="C57" s="3" t="str">
        <f>IFERROR(__xludf.DUMMYFUNCTION("IF(B57&lt;&gt;"""",GOOGLETRANSLATE(B57,""zh"",""zh-TW""),"""")"),"空調")</f>
        <v>空調</v>
      </c>
      <c r="D57" s="2" t="str">
        <f>IFERROR(__xludf.DUMMYFUNCTION("IF(B57&lt;&gt;"""",GOOGLETRANSLATE(B57,""zh"",""en""),"""")"),"air conditioner")</f>
        <v>air conditioner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 t="s">
        <v>59</v>
      </c>
      <c r="C58" s="3" t="str">
        <f>IFERROR(__xludf.DUMMYFUNCTION("IF(B58&lt;&gt;"""",GOOGLETRANSLATE(B58,""zh"",""zh-TW""),"""")"),"垃圾")</f>
        <v>垃圾</v>
      </c>
      <c r="D58" s="2" t="str">
        <f>IFERROR(__xludf.DUMMYFUNCTION("IF(B58&lt;&gt;"""",GOOGLETRANSLATE(B58,""zh"",""en""),"""")"),"Rubbish")</f>
        <v>Rubbish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 t="s">
        <v>60</v>
      </c>
      <c r="C59" s="3" t="str">
        <f>IFERROR(__xludf.DUMMYFUNCTION("IF(B59&lt;&gt;"""",GOOGLETRANSLATE(B59,""zh"",""zh-TW""),"""")"),"零食")</f>
        <v>零食</v>
      </c>
      <c r="D59" s="2" t="str">
        <f>IFERROR(__xludf.DUMMYFUNCTION("IF(B59&lt;&gt;"""",GOOGLETRANSLATE(B59,""zh"",""en""),"""")"),"snack")</f>
        <v>snack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 t="s">
        <v>61</v>
      </c>
      <c r="C60" s="3" t="str">
        <f>IFERROR(__xludf.DUMMYFUNCTION("IF(B60&lt;&gt;"""",GOOGLETRANSLATE(B60,""zh"",""zh-TW""),"""")"),"飲食")</f>
        <v>飲食</v>
      </c>
      <c r="D60" s="2" t="str">
        <f>IFERROR(__xludf.DUMMYFUNCTION("IF(B60&lt;&gt;"""",GOOGLETRANSLATE(B60,""zh"",""en""),"""")"),"diet")</f>
        <v>diet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 t="s">
        <v>62</v>
      </c>
      <c r="C61" s="3" t="str">
        <f>IFERROR(__xludf.DUMMYFUNCTION("IF(B61&lt;&gt;"""",GOOGLETRANSLATE(B61,""zh"",""zh-TW""),"""")"),"零用錢")</f>
        <v>零用錢</v>
      </c>
      <c r="D61" s="2" t="str">
        <f>IFERROR(__xludf.DUMMYFUNCTION("IF(B61&lt;&gt;"""",GOOGLETRANSLATE(B61,""zh"",""en""),"""")"),"pocket money")</f>
        <v>pocket money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 t="s">
        <v>63</v>
      </c>
      <c r="C62" s="3" t="str">
        <f>IFERROR(__xludf.DUMMYFUNCTION("IF(B62&lt;&gt;"""",GOOGLETRANSLATE(B62,""zh"",""zh-TW""),"""")"),"旅遊")</f>
        <v>旅遊</v>
      </c>
      <c r="D62" s="2" t="str">
        <f>IFERROR(__xludf.DUMMYFUNCTION("IF(B62&lt;&gt;"""",GOOGLETRANSLATE(B62,""zh"",""en""),"""")"),"travel")</f>
        <v>travel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 t="s">
        <v>64</v>
      </c>
      <c r="C63" s="3" t="str">
        <f>IFERROR(__xludf.DUMMYFUNCTION("IF(B63&lt;&gt;"""",GOOGLETRANSLATE(B63,""zh"",""zh-TW""),"""")"),"名牌")</f>
        <v>名牌</v>
      </c>
      <c r="D63" s="2" t="str">
        <f>IFERROR(__xludf.DUMMYFUNCTION("IF(B63&lt;&gt;"""",GOOGLETRANSLATE(B63,""zh"",""en""),"""")"),"famous brand")</f>
        <v>famous brand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 t="s">
        <v>65</v>
      </c>
      <c r="C64" s="3" t="str">
        <f>IFERROR(__xludf.DUMMYFUNCTION("IF(B64&lt;&gt;"""",GOOGLETRANSLATE(B64,""zh"",""zh-TW""),"""")"),"毛衣")</f>
        <v>毛衣</v>
      </c>
      <c r="D64" s="2" t="str">
        <f>IFERROR(__xludf.DUMMYFUNCTION("IF(B64&lt;&gt;"""",GOOGLETRANSLATE(B64,""zh"",""en""),"""")"),"sweater")</f>
        <v>sweater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 t="s">
        <v>66</v>
      </c>
      <c r="C65" s="3" t="str">
        <f>IFERROR(__xludf.DUMMYFUNCTION("IF(B65&lt;&gt;"""",GOOGLETRANSLATE(B65,""zh"",""zh-TW""),"""")"),"日用品")</f>
        <v>日用品</v>
      </c>
      <c r="D65" s="2" t="str">
        <f>IFERROR(__xludf.DUMMYFUNCTION("IF(B65&lt;&gt;"""",GOOGLETRANSLATE(B65,""zh"",""en""),"""")"),"Daily necessities")</f>
        <v>Daily necessities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 t="s">
        <v>67</v>
      </c>
      <c r="C66" s="3" t="str">
        <f>IFERROR(__xludf.DUMMYFUNCTION("IF(B66&lt;&gt;"""",GOOGLETRANSLATE(B66,""zh"",""zh-TW""),"""")"),"生氣")</f>
        <v>生氣</v>
      </c>
      <c r="D66" s="2" t="str">
        <f>IFERROR(__xludf.DUMMYFUNCTION("IF(B66&lt;&gt;"""",GOOGLETRANSLATE(B66,""zh"",""en""),"""")"),"angry")</f>
        <v>angry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 t="s">
        <v>68</v>
      </c>
      <c r="C67" s="3" t="str">
        <f>IFERROR(__xludf.DUMMYFUNCTION("IF(B67&lt;&gt;"""",GOOGLETRANSLATE(B67,""zh"",""zh-TW""),"""")"),"省錢")</f>
        <v>省錢</v>
      </c>
      <c r="D67" s="2" t="str">
        <f>IFERROR(__xludf.DUMMYFUNCTION("IF(B67&lt;&gt;"""",GOOGLETRANSLATE(B67,""zh"",""en""),"""")"),"save money")</f>
        <v>save money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 t="s">
        <v>69</v>
      </c>
      <c r="C68" s="3" t="str">
        <f>IFERROR(__xludf.DUMMYFUNCTION("IF(B68&lt;&gt;"""",GOOGLETRANSLATE(B68,""zh"",""zh-TW""),"""")"),"洗衣機")</f>
        <v>洗衣機</v>
      </c>
      <c r="D68" s="2" t="str">
        <f>IFERROR(__xludf.DUMMYFUNCTION("IF(B68&lt;&gt;"""",GOOGLETRANSLATE(B68,""zh"",""en""),"""")"),"washing machine")</f>
        <v>washing machine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 t="s">
        <v>70</v>
      </c>
      <c r="C69" s="3" t="str">
        <f>IFERROR(__xludf.DUMMYFUNCTION("IF(B69&lt;&gt;"""",GOOGLETRANSLATE(B69,""zh"",""zh-TW""),"""")"),"洗衣粉  ")</f>
        <v>洗衣粉  </v>
      </c>
      <c r="D69" s="2" t="str">
        <f>IFERROR(__xludf.DUMMYFUNCTION("IF(B69&lt;&gt;"""",GOOGLETRANSLATE(B69,""zh"",""en""),"""")"),"Laundry")</f>
        <v>Laundry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 t="s">
        <v>71</v>
      </c>
      <c r="C70" s="3" t="str">
        <f>IFERROR(__xludf.DUMMYFUNCTION("IF(B70&lt;&gt;"""",GOOGLETRANSLATE(B70,""zh"",""zh-TW""),"""")"),"賺錢")</f>
        <v>賺錢</v>
      </c>
      <c r="D70" s="2" t="str">
        <f>IFERROR(__xludf.DUMMYFUNCTION("IF(B70&lt;&gt;"""",GOOGLETRANSLATE(B70,""zh"",""en""),"""")"),"make money")</f>
        <v>make money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 t="s">
        <v>72</v>
      </c>
      <c r="C71" s="3" t="str">
        <f>IFERROR(__xludf.DUMMYFUNCTION("IF(B71&lt;&gt;"""",GOOGLETRANSLATE(B71,""zh"",""zh-TW""),"""")"),"現金")</f>
        <v>現金</v>
      </c>
      <c r="D71" s="2" t="str">
        <f>IFERROR(__xludf.DUMMYFUNCTION("IF(B71&lt;&gt;"""",GOOGLETRANSLATE(B71,""zh"",""en""),"""")"),"cash")</f>
        <v>cash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 t="s">
        <v>73</v>
      </c>
      <c r="C72" s="3" t="str">
        <f>IFERROR(__xludf.DUMMYFUNCTION("IF(B72&lt;&gt;"""",GOOGLETRANSLATE(B72,""zh"",""zh-TW""),"""")"),"牙膏")</f>
        <v>牙膏</v>
      </c>
      <c r="D72" s="2" t="str">
        <f>IFERROR(__xludf.DUMMYFUNCTION("IF(B72&lt;&gt;"""",GOOGLETRANSLATE(B72,""zh"",""en""),"""")"),"toothpaste")</f>
        <v>toothpaste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 t="s">
        <v>74</v>
      </c>
      <c r="C73" s="3" t="str">
        <f>IFERROR(__xludf.DUMMYFUNCTION("IF(B73&lt;&gt;"""",GOOGLETRANSLATE(B73,""zh"",""zh-TW""),"""")"),"鑰匙")</f>
        <v>鑰匙</v>
      </c>
      <c r="D73" s="2" t="str">
        <f>IFERROR(__xludf.DUMMYFUNCTION("IF(B73&lt;&gt;"""",GOOGLETRANSLATE(B73,""zh"",""en""),"""")"),"key")</f>
        <v>key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 t="s">
        <v>75</v>
      </c>
      <c r="C74" s="3" t="str">
        <f>IFERROR(__xludf.DUMMYFUNCTION("IF(B74&lt;&gt;"""",GOOGLETRANSLATE(B74,""zh"",""zh-TW""),"""")"),"衣櫃")</f>
        <v>衣櫃</v>
      </c>
      <c r="D74" s="2" t="str">
        <f>IFERROR(__xludf.DUMMYFUNCTION("IF(B74&lt;&gt;"""",GOOGLETRANSLATE(B74,""zh"",""en""),"""")"),"Wardrobe")</f>
        <v>Wardrobe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 t="s">
        <v>54</v>
      </c>
      <c r="C75" s="3" t="str">
        <f>IFERROR(__xludf.DUMMYFUNCTION("IF(B75&lt;&gt;"""",GOOGLETRANSLATE(B75,""zh"",""zh-TW""),"""")"),"經驗")</f>
        <v>經驗</v>
      </c>
      <c r="D75" s="2" t="str">
        <f>IFERROR(__xludf.DUMMYFUNCTION("IF(B75&lt;&gt;"""",GOOGLETRANSLATE(B75,""zh"",""en""),"""")"),"experience")</f>
        <v>experience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 t="s">
        <v>76</v>
      </c>
      <c r="C76" s="3" t="str">
        <f>IFERROR(__xludf.DUMMYFUNCTION("IF(B76&lt;&gt;"""",GOOGLETRANSLATE(B76,""zh"",""zh-TW""),"""")"),"禮物")</f>
        <v>禮物</v>
      </c>
      <c r="D76" s="2" t="str">
        <f>IFERROR(__xludf.DUMMYFUNCTION("IF(B76&lt;&gt;"""",GOOGLETRANSLATE(B76,""zh"",""en""),"""")"),"Gift")</f>
        <v>Gift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 t="s">
        <v>77</v>
      </c>
      <c r="C77" s="3" t="str">
        <f>IFERROR(__xludf.DUMMYFUNCTION("IF(B77&lt;&gt;"""",GOOGLETRANSLATE(B77,""zh"",""zh-TW""),"""")"),"牛仔褲")</f>
        <v>牛仔褲</v>
      </c>
      <c r="D77" s="2" t="str">
        <f>IFERROR(__xludf.DUMMYFUNCTION("IF(B77&lt;&gt;"""",GOOGLETRANSLATE(B77,""zh"",""en""),"""")"),"jeans")</f>
        <v>jeans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 t="s">
        <v>78</v>
      </c>
      <c r="C78" s="3" t="str">
        <f>IFERROR(__xludf.DUMMYFUNCTION("IF(B78&lt;&gt;"""",GOOGLETRANSLATE(B78,""zh"",""zh-TW""),"""")"),"牌子")</f>
        <v>牌子</v>
      </c>
      <c r="D78" s="2" t="str">
        <f>IFERROR(__xludf.DUMMYFUNCTION("IF(B78&lt;&gt;"""",GOOGLETRANSLATE(B78,""zh"",""en""),"""")"),"brand")</f>
        <v>brand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 t="s">
        <v>79</v>
      </c>
      <c r="C79" s="3" t="str">
        <f>IFERROR(__xludf.DUMMYFUNCTION("IF(B79&lt;&gt;"""",GOOGLETRANSLATE(B79,""zh"",""zh-TW""),"""")"),"清淡")</f>
        <v>清淡</v>
      </c>
      <c r="D79" s="2" t="str">
        <f>IFERROR(__xludf.DUMMYFUNCTION("IF(B79&lt;&gt;"""",GOOGLETRANSLATE(B79,""zh"",""en""),"""")"),"Light")</f>
        <v>Light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 t="s">
        <v>80</v>
      </c>
      <c r="C80" s="3" t="str">
        <f>IFERROR(__xludf.DUMMYFUNCTION("IF(B80&lt;&gt;"""",GOOGLETRANSLATE(B80,""zh"",""zh-TW""),"""")"),"清蒸")</f>
        <v>清蒸</v>
      </c>
      <c r="D80" s="2" t="str">
        <f>IFERROR(__xludf.DUMMYFUNCTION("IF(B80&lt;&gt;"""",GOOGLETRANSLATE(B80,""zh"",""en""),"""")"),"Steamed")</f>
        <v>Steamed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 t="s">
        <v>81</v>
      </c>
      <c r="C81" s="3" t="str">
        <f>IFERROR(__xludf.DUMMYFUNCTION("IF(B81&lt;&gt;"""",GOOGLETRANSLATE(B81,""zh"",""zh-TW""),"""")"),"輕鬆")</f>
        <v>輕鬆</v>
      </c>
      <c r="D81" s="2" t="str">
        <f>IFERROR(__xludf.DUMMYFUNCTION("IF(B81&lt;&gt;"""",GOOGLETRANSLATE(B81,""zh"",""en""),"""")"),"easy")</f>
        <v>easy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 t="s">
        <v>82</v>
      </c>
      <c r="C82" s="3" t="str">
        <f>IFERROR(__xludf.DUMMYFUNCTION("IF(B82&lt;&gt;"""",GOOGLETRANSLATE(B82,""zh"",""zh-TW""),"""")"),"生活")</f>
        <v>生活</v>
      </c>
      <c r="D82" s="2" t="str">
        <f>IFERROR(__xludf.DUMMYFUNCTION("IF(B82&lt;&gt;"""",GOOGLETRANSLATE(B82,""zh"",""en""),"""")"),"Life")</f>
        <v>Life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 t="s">
        <v>83</v>
      </c>
      <c r="C83" s="3" t="str">
        <f>IFERROR(__xludf.DUMMYFUNCTION("IF(B83&lt;&gt;"""",GOOGLETRANSLATE(B83,""zh"",""zh-TW""),"""")"),"時髦")</f>
        <v>時髦</v>
      </c>
      <c r="D83" s="2" t="str">
        <f>IFERROR(__xludf.DUMMYFUNCTION("IF(B83&lt;&gt;"""",GOOGLETRANSLATE(B83,""zh"",""en""),"""")"),"fashionable")</f>
        <v>fashionable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 t="s">
        <v>84</v>
      </c>
      <c r="C84" s="3" t="str">
        <f>IFERROR(__xludf.DUMMYFUNCTION("IF(B84&lt;&gt;"""",GOOGLETRANSLATE(B84,""zh"",""zh-TW""),"""")"),"時代")</f>
        <v>時代</v>
      </c>
      <c r="D84" s="2" t="str">
        <f>IFERROR(__xludf.DUMMYFUNCTION("IF(B84&lt;&gt;"""",GOOGLETRANSLATE(B84,""zh"",""en""),"""")"),"era")</f>
        <v>era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 t="s">
        <v>85</v>
      </c>
      <c r="C85" s="3" t="str">
        <f>IFERROR(__xludf.DUMMYFUNCTION("IF(B85&lt;&gt;"""",GOOGLETRANSLATE(B85,""zh"",""zh-TW""),"""")"),"適合")</f>
        <v>適合</v>
      </c>
      <c r="D85" s="2" t="str">
        <f>IFERROR(__xludf.DUMMYFUNCTION("IF(B85&lt;&gt;"""",GOOGLETRANSLATE(B85,""zh"",""en""),"""")"),"Suitable")</f>
        <v>Suitable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 t="s">
        <v>86</v>
      </c>
      <c r="C86" s="3" t="str">
        <f>IFERROR(__xludf.DUMMYFUNCTION("IF(B86&lt;&gt;"""",GOOGLETRANSLATE(B86,""zh"",""zh-TW""),"""")"),"適應")</f>
        <v>適應</v>
      </c>
      <c r="D86" s="2" t="str">
        <f>IFERROR(__xludf.DUMMYFUNCTION("IF(B86&lt;&gt;"""",GOOGLETRANSLATE(B86,""zh"",""en""),"""")"),"adapt")</f>
        <v>adapt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 t="s">
        <v>87</v>
      </c>
      <c r="C87" s="3" t="str">
        <f>IFERROR(__xludf.DUMMYFUNCTION("IF(B87&lt;&gt;"""",GOOGLETRANSLATE(B87,""zh"",""zh-TW""),"""")"),"事情 ")</f>
        <v>事情 </v>
      </c>
      <c r="D87" s="2" t="str">
        <f>IFERROR(__xludf.DUMMYFUNCTION("IF(B87&lt;&gt;"""",GOOGLETRANSLATE(B87,""zh"",""en""),"""")"),"matter ")</f>
        <v>matter 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 t="s">
        <v>88</v>
      </c>
      <c r="C88" s="3" t="str">
        <f>IFERROR(__xludf.DUMMYFUNCTION("IF(B88&lt;&gt;"""",GOOGLETRANSLATE(B88,""zh"",""zh-TW""),"""")"),"書本")</f>
        <v>書本</v>
      </c>
      <c r="D88" s="2" t="str">
        <f>IFERROR(__xludf.DUMMYFUNCTION("IF(B88&lt;&gt;"""",GOOGLETRANSLATE(B88,""zh"",""en""),"""")"),"book")</f>
        <v>book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 t="s">
        <v>89</v>
      </c>
      <c r="C89" s="3" t="str">
        <f>IFERROR(__xludf.DUMMYFUNCTION("IF(B89&lt;&gt;"""",GOOGLETRANSLATE(B89,""zh"",""zh-TW""),"""")"),"數字")</f>
        <v>數字</v>
      </c>
      <c r="D89" s="2" t="str">
        <f>IFERROR(__xludf.DUMMYFUNCTION("IF(B89&lt;&gt;"""",GOOGLETRANSLATE(B89,""zh"",""en""),"""")"),"number")</f>
        <v>number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 t="s">
        <v>90</v>
      </c>
      <c r="C90" s="3" t="str">
        <f>IFERROR(__xludf.DUMMYFUNCTION("IF(B90&lt;&gt;"""",GOOGLETRANSLATE(B90,""zh"",""zh-TW""),"""")"),"四季如春")</f>
        <v>四季如春</v>
      </c>
      <c r="D90" s="2" t="str">
        <f>IFERROR(__xludf.DUMMYFUNCTION("IF(B90&lt;&gt;"""",GOOGLETRANSLATE(B90,""zh"",""en""),"""")"),"The four seasons are like spring")</f>
        <v>The four seasons are like spring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 t="s">
        <v>91</v>
      </c>
      <c r="C91" s="3" t="str">
        <f>IFERROR(__xludf.DUMMYFUNCTION("IF(B91&lt;&gt;"""",GOOGLETRANSLATE(B91,""zh"",""zh-TW""),"""")"),"態度")</f>
        <v>態度</v>
      </c>
      <c r="D91" s="2" t="str">
        <f>IFERROR(__xludf.DUMMYFUNCTION("IF(B91&lt;&gt;"""",GOOGLETRANSLATE(B91,""zh"",""en""),"""")"),"manner")</f>
        <v>manner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 t="s">
        <v>92</v>
      </c>
      <c r="C92" s="3" t="str">
        <f>IFERROR(__xludf.DUMMYFUNCTION("IF(B92&lt;&gt;"""",GOOGLETRANSLATE(B92,""zh"",""zh-TW""),"""")"),"談")</f>
        <v>談</v>
      </c>
      <c r="D92" s="2" t="str">
        <f>IFERROR(__xludf.DUMMYFUNCTION("IF(B92&lt;&gt;"""",GOOGLETRANSLATE(B92,""zh"",""en""),"""")"),"talk")</f>
        <v>talk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 t="s">
        <v>93</v>
      </c>
      <c r="C93" s="3" t="str">
        <f>IFERROR(__xludf.DUMMYFUNCTION("IF(B93&lt;&gt;"""",GOOGLETRANSLATE(B93,""zh"",""zh-TW""),"""")"),"毯子")</f>
        <v>毯子</v>
      </c>
      <c r="D93" s="2" t="str">
        <f>IFERROR(__xludf.DUMMYFUNCTION("IF(B93&lt;&gt;"""",GOOGLETRANSLATE(B93,""zh"",""en""),"""")"),"blanket")</f>
        <v>blanket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 t="s">
        <v>94</v>
      </c>
      <c r="C94" s="3" t="str">
        <f>IFERROR(__xludf.DUMMYFUNCTION("IF(B94&lt;&gt;"""",GOOGLETRANSLATE(B94,""zh"",""zh-TW""),"""")"),"討論")</f>
        <v>討論</v>
      </c>
      <c r="D94" s="2" t="str">
        <f>IFERROR(__xludf.DUMMYFUNCTION("IF(B94&lt;&gt;"""",GOOGLETRANSLATE(B94,""zh"",""en""),"""")"),"discuss")</f>
        <v>discuss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 t="s">
        <v>95</v>
      </c>
      <c r="C95" s="3" t="str">
        <f>IFERROR(__xludf.DUMMYFUNCTION("IF(B95&lt;&gt;"""",GOOGLETRANSLATE(B95,""zh"",""zh-TW""),"""")"),"T恤衫")</f>
        <v>T恤衫</v>
      </c>
      <c r="D95" s="2" t="str">
        <f>IFERROR(__xludf.DUMMYFUNCTION("IF(B95&lt;&gt;"""",GOOGLETRANSLATE(B95,""zh"",""en""),"""")"),"T -shirt")</f>
        <v>T -shirt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 t="s">
        <v>96</v>
      </c>
      <c r="C96" s="3" t="str">
        <f>IFERROR(__xludf.DUMMYFUNCTION("IF(B96&lt;&gt;"""",GOOGLETRANSLATE(B96,""zh"",""zh-TW""),"""")"),"童年")</f>
        <v>童年</v>
      </c>
      <c r="D96" s="2" t="str">
        <f>IFERROR(__xludf.DUMMYFUNCTION("IF(B96&lt;&gt;"""",GOOGLETRANSLATE(B96,""zh"",""en""),"""")"),"childhood")</f>
        <v>childhood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 t="s">
        <v>97</v>
      </c>
      <c r="C97" s="3" t="str">
        <f>IFERROR(__xludf.DUMMYFUNCTION("IF(B97&lt;&gt;"""",GOOGLETRANSLATE(B97,""zh"",""zh-TW""),"""")"),"外賣")</f>
        <v>外賣</v>
      </c>
      <c r="D97" s="2" t="str">
        <f>IFERROR(__xludf.DUMMYFUNCTION("IF(B97&lt;&gt;"""",GOOGLETRANSLATE(B97,""zh"",""en""),"""")"),"takeout")</f>
        <v>takeout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 t="s">
        <v>98</v>
      </c>
      <c r="C98" s="3" t="str">
        <f>IFERROR(__xludf.DUMMYFUNCTION("IF(B98&lt;&gt;"""",GOOGLETRANSLATE(B98,""zh"",""zh-TW""),"""")"),"衛生紙")</f>
        <v>衛生紙</v>
      </c>
      <c r="D98" s="2" t="str">
        <f>IFERROR(__xludf.DUMMYFUNCTION("IF(B98&lt;&gt;"""",GOOGLETRANSLATE(B98,""zh"",""en""),"""")"),"toilet paper")</f>
        <v>toilet paper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 t="s">
        <v>99</v>
      </c>
      <c r="C99" s="3" t="str">
        <f>IFERROR(__xludf.DUMMYFUNCTION("IF(B99&lt;&gt;"""",GOOGLETRANSLATE(B99,""zh"",""zh-TW""),"""")"),"文具")</f>
        <v>文具</v>
      </c>
      <c r="D99" s="2" t="str">
        <f>IFERROR(__xludf.DUMMYFUNCTION("IF(B99&lt;&gt;"""",GOOGLETRANSLATE(B99,""zh"",""en""),"""")"),"Stationery")</f>
        <v>Stationery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 t="s">
        <v>100</v>
      </c>
      <c r="C100" s="3" t="str">
        <f>IFERROR(__xludf.DUMMYFUNCTION("IF(B100&lt;&gt;"""",GOOGLETRANSLATE(B100,""zh"",""zh-TW""),"""")"),"文學")</f>
        <v>文學</v>
      </c>
      <c r="D100" s="2" t="str">
        <f>IFERROR(__xludf.DUMMYFUNCTION("IF(B100&lt;&gt;"""",GOOGLETRANSLATE(B100,""zh"",""en""),"""")"),"literature")</f>
        <v>literature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 t="s">
        <v>101</v>
      </c>
      <c r="C101" s="3" t="str">
        <f>IFERROR(__xludf.DUMMYFUNCTION("IF(B101&lt;&gt;"""",GOOGLETRANSLATE(B101,""zh"",""zh-TW""),"""")"),"文章")</f>
        <v>文章</v>
      </c>
      <c r="D101" s="2" t="str">
        <f>IFERROR(__xludf.DUMMYFUNCTION("IF(B101&lt;&gt;"""",GOOGLETRANSLATE(B101,""zh"",""en""),"""")"),"article")</f>
        <v>article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 t="s">
        <v>102</v>
      </c>
      <c r="C102" s="3" t="str">
        <f>IFERROR(__xludf.DUMMYFUNCTION("IF(B102&lt;&gt;"""",GOOGLETRANSLATE(B102,""zh"",""zh-TW""),"""")"),"屋子")</f>
        <v>屋子</v>
      </c>
      <c r="D102" s="2" t="str">
        <f>IFERROR(__xludf.DUMMYFUNCTION("IF(B102&lt;&gt;"""",GOOGLETRANSLATE(B102,""zh"",""en""),"""")"),"room")</f>
        <v>room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 t="s">
        <v>103</v>
      </c>
      <c r="C103" s="3" t="str">
        <f>IFERROR(__xludf.DUMMYFUNCTION("IF(B103&lt;&gt;"""",GOOGLETRANSLATE(B103,""zh"",""zh-TW""),"""")"),"物價廉美")</f>
        <v>物價廉美</v>
      </c>
      <c r="D103" s="2" t="str">
        <f>IFERROR(__xludf.DUMMYFUNCTION("IF(B103&lt;&gt;"""",GOOGLETRANSLATE(B103,""zh"",""en""),"""")"),"Cheap")</f>
        <v>Cheap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 t="s">
        <v>70</v>
      </c>
      <c r="C104" s="3" t="str">
        <f>IFERROR(__xludf.DUMMYFUNCTION("IF(B104&lt;&gt;"""",GOOGLETRANSLATE(B104,""zh"",""zh-TW""),"""")"),"洗衣粉  ")</f>
        <v>洗衣粉  </v>
      </c>
      <c r="D104" s="2" t="str">
        <f>IFERROR(__xludf.DUMMYFUNCTION("IF(B104&lt;&gt;"""",GOOGLETRANSLATE(B104,""zh"",""en""),"""")"),"Laundry")</f>
        <v>Laundry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 t="s">
        <v>104</v>
      </c>
      <c r="C105" s="3" t="str">
        <f>IFERROR(__xludf.DUMMYFUNCTION("IF(B105&lt;&gt;"""",GOOGLETRANSLATE(B105,""zh"",""zh-TW""),"""")"),"咸")</f>
        <v>咸</v>
      </c>
      <c r="D105" s="2" t="str">
        <f>IFERROR(__xludf.DUMMYFUNCTION("IF(B105&lt;&gt;"""",GOOGLETRANSLATE(B105,""zh"",""en""),"""")"),"salty")</f>
        <v>salty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 t="s">
        <v>105</v>
      </c>
      <c r="C106" s="3" t="str">
        <f>IFERROR(__xludf.DUMMYFUNCTION("IF(B106&lt;&gt;"""",GOOGLETRANSLATE(B106,""zh"",""zh-TW""),"""")"),"嫌")</f>
        <v>嫌</v>
      </c>
      <c r="D106" s="2" t="str">
        <f>IFERROR(__xludf.DUMMYFUNCTION("IF(B106&lt;&gt;"""",GOOGLETRANSLATE(B106,""zh"",""en""),"""")"),"Dislike")</f>
        <v>Dislike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 t="s">
        <v>72</v>
      </c>
      <c r="C107" s="3" t="str">
        <f>IFERROR(__xludf.DUMMYFUNCTION("IF(B107&lt;&gt;"""",GOOGLETRANSLATE(B107,""zh"",""zh-TW""),"""")"),"現金")</f>
        <v>現金</v>
      </c>
      <c r="D107" s="2" t="str">
        <f>IFERROR(__xludf.DUMMYFUNCTION("IF(B107&lt;&gt;"""",GOOGLETRANSLATE(B107,""zh"",""en""),"""")"),"cash")</f>
        <v>cash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 t="s">
        <v>106</v>
      </c>
      <c r="C108" s="3" t="str">
        <f>IFERROR(__xludf.DUMMYFUNCTION("IF(B108&lt;&gt;"""",GOOGLETRANSLATE(B108,""zh"",""zh-TW""),"""")"),"相處")</f>
        <v>相處</v>
      </c>
      <c r="D108" s="2" t="str">
        <f>IFERROR(__xludf.DUMMYFUNCTION("IF(B108&lt;&gt;"""",GOOGLETRANSLATE(B108,""zh"",""en""),"""")"),"get along")</f>
        <v>get along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 t="s">
        <v>31</v>
      </c>
      <c r="C109" s="3" t="str">
        <f>IFERROR(__xludf.DUMMYFUNCTION("IF(B109&lt;&gt;"""",GOOGLETRANSLATE(B109,""zh"",""zh-TW""),"""")"),"愛好")</f>
        <v>愛好</v>
      </c>
      <c r="D109" s="2" t="str">
        <f>IFERROR(__xludf.DUMMYFUNCTION("IF(B109&lt;&gt;"""",GOOGLETRANSLATE(B109,""zh"",""en""),"""")"),"Hobby")</f>
        <v>Hobby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 t="s">
        <v>107</v>
      </c>
      <c r="C110" s="3" t="str">
        <f>IFERROR(__xludf.DUMMYFUNCTION("IF(B110&lt;&gt;"""",GOOGLETRANSLATE(B110,""zh"",""zh-TW""),"""")"),"安全")</f>
        <v>安全</v>
      </c>
      <c r="D110" s="2" t="str">
        <f>IFERROR(__xludf.DUMMYFUNCTION("IF(B110&lt;&gt;"""",GOOGLETRANSLATE(B110,""zh"",""en""),"""")"),"Safety")</f>
        <v>Safety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 t="s">
        <v>108</v>
      </c>
      <c r="C111" s="3" t="str">
        <f>IFERROR(__xludf.DUMMYFUNCTION("IF(B111&lt;&gt;"""",GOOGLETRANSLATE(B111,""zh"",""zh-TW""),"""")"),"出生")</f>
        <v>出生</v>
      </c>
      <c r="D111" s="2" t="str">
        <f>IFERROR(__xludf.DUMMYFUNCTION("IF(B111&lt;&gt;"""",GOOGLETRANSLATE(B111,""zh"",""en""),"""")"),"born")</f>
        <v>born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 t="s">
        <v>109</v>
      </c>
      <c r="C112" s="3" t="str">
        <f>IFERROR(__xludf.DUMMYFUNCTION("IF(B112&lt;&gt;"""",GOOGLETRANSLATE(B112,""zh"",""zh-TW""),"""")"),"純棉")</f>
        <v>純棉</v>
      </c>
      <c r="D112" s="2" t="str">
        <f>IFERROR(__xludf.DUMMYFUNCTION("IF(B112&lt;&gt;"""",GOOGLETRANSLATE(B112,""zh"",""en""),"""")"),"Cotton")</f>
        <v>Cotton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 t="s">
        <v>17</v>
      </c>
      <c r="C113" s="3" t="str">
        <f>IFERROR(__xludf.DUMMYFUNCTION("IF(B113&lt;&gt;"""",GOOGLETRANSLATE(B113,""zh"",""zh-TW""),"""")"),"答應")</f>
        <v>答應</v>
      </c>
      <c r="D113" s="2" t="str">
        <f>IFERROR(__xludf.DUMMYFUNCTION("IF(B113&lt;&gt;"""",GOOGLETRANSLATE(B113,""zh"",""en""),"""")"),"promise")</f>
        <v>promise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 t="s">
        <v>18</v>
      </c>
      <c r="C114" s="3" t="str">
        <f>IFERROR(__xludf.DUMMYFUNCTION("IF(B114&lt;&gt;"""",GOOGLETRANSLATE(B114,""zh"",""zh-TW""),"""")"),"打交道")</f>
        <v>打交道</v>
      </c>
      <c r="D114" s="2" t="str">
        <f>IFERROR(__xludf.DUMMYFUNCTION("IF(B114&lt;&gt;"""",GOOGLETRANSLATE(B114,""zh"",""en""),"""")"),"Deal")</f>
        <v>Deal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 t="s">
        <v>110</v>
      </c>
      <c r="C115" s="3" t="str">
        <f>IFERROR(__xludf.DUMMYFUNCTION("IF(B115&lt;&gt;"""",GOOGLETRANSLATE(B115,""zh"",""zh-TW""),"""")"),"待")</f>
        <v>待</v>
      </c>
      <c r="D115" s="2" t="str">
        <f>IFERROR(__xludf.DUMMYFUNCTION("IF(B115&lt;&gt;"""",GOOGLETRANSLATE(B115,""zh"",""en""),"""")"),"treat")</f>
        <v>treat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 t="s">
        <v>111</v>
      </c>
      <c r="C116" s="3" t="str">
        <f>IFERROR(__xludf.DUMMYFUNCTION("IF(B116&lt;&gt;"""",GOOGLETRANSLATE(B116,""zh"",""zh-TW""),"""")"),"發生")</f>
        <v>發生</v>
      </c>
      <c r="D116" s="2" t="str">
        <f>IFERROR(__xludf.DUMMYFUNCTION("IF(B116&lt;&gt;"""",GOOGLETRANSLATE(B116,""zh"",""en""),"""")"),"occur")</f>
        <v>occur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 t="s">
        <v>42</v>
      </c>
      <c r="C117" s="3" t="str">
        <f>IFERROR(__xludf.DUMMYFUNCTION("IF(B117&lt;&gt;"""",GOOGLETRANSLATE(B117,""zh"",""zh-TW""),"""")"),"反對")</f>
        <v>反對</v>
      </c>
      <c r="D117" s="2" t="str">
        <f>IFERROR(__xludf.DUMMYFUNCTION("IF(B117&lt;&gt;"""",GOOGLETRANSLATE(B117,""zh"",""en""),"""")"),"be opposed to")</f>
        <v>be opposed to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 t="s">
        <v>112</v>
      </c>
      <c r="C118" s="3" t="str">
        <f>IFERROR(__xludf.DUMMYFUNCTION("IF(B118&lt;&gt;"""",GOOGLETRANSLATE(B118,""zh"",""zh-TW""),"""")"),"敢")</f>
        <v>敢</v>
      </c>
      <c r="D118" s="2" t="str">
        <f>IFERROR(__xludf.DUMMYFUNCTION("IF(B118&lt;&gt;"""",GOOGLETRANSLATE(B118,""zh"",""en""),"""")"),"dare")</f>
        <v>dare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 t="s">
        <v>113</v>
      </c>
      <c r="C119" s="3" t="str">
        <f>IFERROR(__xludf.DUMMYFUNCTION("IF(B119&lt;&gt;"""",GOOGLETRANSLATE(B119,""zh"",""zh-TW""),"""")"),"感覺")</f>
        <v>感覺</v>
      </c>
      <c r="D119" s="2" t="str">
        <f>IFERROR(__xludf.DUMMYFUNCTION("IF(B119&lt;&gt;"""",GOOGLETRANSLATE(B119,""zh"",""en""),"""")"),"Feel")</f>
        <v>Feel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 t="s">
        <v>114</v>
      </c>
      <c r="C120" s="3" t="str">
        <f>IFERROR(__xludf.DUMMYFUNCTION("IF(B120&lt;&gt;"""",GOOGLETRANSLATE(B120,""zh"",""zh-TW""),"""")"),"害")</f>
        <v>害</v>
      </c>
      <c r="D120" s="2" t="str">
        <f>IFERROR(__xludf.DUMMYFUNCTION("IF(B120&lt;&gt;"""",GOOGLETRANSLATE(B120,""zh"",""en""),"""")"),"Harmful")</f>
        <v>Harmful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 t="s">
        <v>115</v>
      </c>
      <c r="C121" s="3" t="str">
        <f>IFERROR(__xludf.DUMMYFUNCTION("IF(B121&lt;&gt;"""",GOOGLETRANSLATE(B121,""zh"",""zh-TW""),"""")"),"好處")</f>
        <v>好處</v>
      </c>
      <c r="D121" s="2" t="str">
        <f>IFERROR(__xludf.DUMMYFUNCTION("IF(B121&lt;&gt;"""",GOOGLETRANSLATE(B121,""zh"",""en""),"""")"),"benefit")</f>
        <v>benefit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 t="s">
        <v>116</v>
      </c>
      <c r="C122" s="3" t="str">
        <f>IFERROR(__xludf.DUMMYFUNCTION("IF(B122&lt;&gt;"""",GOOGLETRANSLATE(B122,""zh"",""zh-TW""),"""")"),"建議")</f>
        <v>建議</v>
      </c>
      <c r="D122" s="2" t="str">
        <f>IFERROR(__xludf.DUMMYFUNCTION("IF(B122&lt;&gt;"""",GOOGLETRANSLATE(B122,""zh"",""en""),"""")"),"suggestion")</f>
        <v>suggestion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 t="s">
        <v>117</v>
      </c>
      <c r="C123" s="3" t="str">
        <f>IFERROR(__xludf.DUMMYFUNCTION("IF(B123&lt;&gt;"""",GOOGLETRANSLATE(B123,""zh"",""zh-TW""),"""")"),"將來")</f>
        <v>將來</v>
      </c>
      <c r="D123" s="2" t="str">
        <f>IFERROR(__xludf.DUMMYFUNCTION("IF(B123&lt;&gt;"""",GOOGLETRANSLATE(B123,""zh"",""en""),"""")"),"future")</f>
        <v>future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 t="s">
        <v>118</v>
      </c>
      <c r="C124" s="3" t="str">
        <f>IFERROR(__xludf.DUMMYFUNCTION("IF(B124&lt;&gt;"""",GOOGLETRANSLATE(B124,""zh"",""zh-TW""),"""")"),"交朋友")</f>
        <v>交朋友</v>
      </c>
      <c r="D124" s="2" t="str">
        <f>IFERROR(__xludf.DUMMYFUNCTION("IF(B124&lt;&gt;"""",GOOGLETRANSLATE(B124,""zh"",""en""),"""")"),"make friends")</f>
        <v>make friends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 t="s">
        <v>119</v>
      </c>
      <c r="C125" s="3" t="str">
        <f>IFERROR(__xludf.DUMMYFUNCTION("IF(B125&lt;&gt;"""",GOOGLETRANSLATE(B125,""zh"",""zh-TW""),"""")"),"借")</f>
        <v>借</v>
      </c>
      <c r="D125" s="2" t="str">
        <f>IFERROR(__xludf.DUMMYFUNCTION("IF(B125&lt;&gt;"""",GOOGLETRANSLATE(B125,""zh"",""en""),"""")"),"borrow")</f>
        <v>borrow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 t="s">
        <v>120</v>
      </c>
      <c r="C126" s="3" t="str">
        <f>IFERROR(__xludf.DUMMYFUNCTION("IF(B126&lt;&gt;"""",GOOGLETRANSLATE(B126,""zh"",""zh-TW""),"""")"),"開朗")</f>
        <v>開朗</v>
      </c>
      <c r="D126" s="2" t="str">
        <f>IFERROR(__xludf.DUMMYFUNCTION("IF(B126&lt;&gt;"""",GOOGLETRANSLATE(B126,""zh"",""en""),"""")"),"Cheerful")</f>
        <v>Cheerful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 t="s">
        <v>57</v>
      </c>
      <c r="C127" s="3" t="str">
        <f>IFERROR(__xludf.DUMMYFUNCTION("IF(B127&lt;&gt;"""",GOOGLETRANSLATE(B127,""zh"",""zh-TW""),"""")"),"開玩笑")</f>
        <v>開玩笑</v>
      </c>
      <c r="D127" s="2" t="str">
        <f>IFERROR(__xludf.DUMMYFUNCTION("IF(B127&lt;&gt;"""",GOOGLETRANSLATE(B127,""zh"",""en""),"""")"),"joke")</f>
        <v>joke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 t="s">
        <v>121</v>
      </c>
      <c r="C128" s="3" t="str">
        <f>IFERROR(__xludf.DUMMYFUNCTION("IF(B128&lt;&gt;"""",GOOGLETRANSLATE(B128,""zh"",""zh-TW""),"""")"),"考慮")</f>
        <v>考慮</v>
      </c>
      <c r="D128" s="2" t="str">
        <f>IFERROR(__xludf.DUMMYFUNCTION("IF(B128&lt;&gt;"""",GOOGLETRANSLATE(B128,""zh"",""en""),"""")"),"consider")</f>
        <v>consider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 t="s">
        <v>122</v>
      </c>
      <c r="C129" s="3" t="str">
        <f>IFERROR(__xludf.DUMMYFUNCTION("IF(B129&lt;&gt;"""",GOOGLETRANSLATE(B129,""zh"",""zh-TW""),"""")"),"老是")</f>
        <v>老是</v>
      </c>
      <c r="D129" s="2" t="str">
        <f>IFERROR(__xludf.DUMMYFUNCTION("IF(B129&lt;&gt;"""",GOOGLETRANSLATE(B129,""zh"",""en""),"""")"),"always")</f>
        <v>always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 t="s">
        <v>123</v>
      </c>
      <c r="C130" s="3" t="str">
        <f>IFERROR(__xludf.DUMMYFUNCTION("IF(B130&lt;&gt;"""",GOOGLETRANSLATE(B130,""zh"",""zh-TW""),"""")"),"理解")</f>
        <v>理解</v>
      </c>
      <c r="D130" s="2" t="str">
        <f>IFERROR(__xludf.DUMMYFUNCTION("IF(B130&lt;&gt;"""",GOOGLETRANSLATE(B130,""zh"",""en""),"""")"),"understand")</f>
        <v>understand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 t="s">
        <v>124</v>
      </c>
      <c r="C131" s="3" t="str">
        <f>IFERROR(__xludf.DUMMYFUNCTION("IF(B131&lt;&gt;"""",GOOGLETRANSLATE(B131,""zh"",""zh-TW""),"""")"),"良好")</f>
        <v>良好</v>
      </c>
      <c r="D131" s="2" t="str">
        <f>IFERROR(__xludf.DUMMYFUNCTION("IF(B131&lt;&gt;"""",GOOGLETRANSLATE(B131,""zh"",""en""),"""")"),"good")</f>
        <v>good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 t="s">
        <v>125</v>
      </c>
      <c r="C132" s="3" t="str">
        <f>IFERROR(__xludf.DUMMYFUNCTION("IF(B132&lt;&gt;"""",GOOGLETRANSLATE(B132,""zh"",""zh-TW""),"""")"),"落伍")</f>
        <v>落伍</v>
      </c>
      <c r="D132" s="2" t="str">
        <f>IFERROR(__xludf.DUMMYFUNCTION("IF(B132&lt;&gt;"""",GOOGLETRANSLATE(B132,""zh"",""en""),"""")"),"Outdoor")</f>
        <v>Outdoor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 t="s">
        <v>126</v>
      </c>
      <c r="C133" s="3" t="str">
        <f>IFERROR(__xludf.DUMMYFUNCTION("IF(B133&lt;&gt;"""",GOOGLETRANSLATE(B133,""zh"",""zh-TW""),"""")"),"馬虎")</f>
        <v>馬虎</v>
      </c>
      <c r="D133" s="2" t="str">
        <f>IFERROR(__xludf.DUMMYFUNCTION("IF(B133&lt;&gt;"""",GOOGLETRANSLATE(B133,""zh"",""en""),"""")"),"careless")</f>
        <v>careless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 t="s">
        <v>127</v>
      </c>
      <c r="C134" s="3" t="str">
        <f>IFERROR(__xludf.DUMMYFUNCTION("IF(B134&lt;&gt;"""",GOOGLETRANSLATE(B134,""zh"",""zh-TW""),"""")"),"毛巾")</f>
        <v>毛巾</v>
      </c>
      <c r="D134" s="2" t="str">
        <f>IFERROR(__xludf.DUMMYFUNCTION("IF(B134&lt;&gt;"""",GOOGLETRANSLATE(B134,""zh"",""en""),"""")"),"towel")</f>
        <v>towel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 t="s">
        <v>65</v>
      </c>
      <c r="C135" s="3" t="str">
        <f>IFERROR(__xludf.DUMMYFUNCTION("IF(B135&lt;&gt;"""",GOOGLETRANSLATE(B135,""zh"",""zh-TW""),"""")"),"毛衣")</f>
        <v>毛衣</v>
      </c>
      <c r="D135" s="2" t="str">
        <f>IFERROR(__xludf.DUMMYFUNCTION("IF(B135&lt;&gt;"""",GOOGLETRANSLATE(B135,""zh"",""en""),"""")"),"sweater")</f>
        <v>sweater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 t="s">
        <v>128</v>
      </c>
      <c r="C136" s="3" t="str">
        <f>IFERROR(__xludf.DUMMYFUNCTION("IF(B136&lt;&gt;"""",GOOGLETRANSLATE(B136,""zh"",""zh-TW""),"""")"),"免費")</f>
        <v>免費</v>
      </c>
      <c r="D136" s="2" t="str">
        <f>IFERROR(__xludf.DUMMYFUNCTION("IF(B136&lt;&gt;"""",GOOGLETRANSLATE(B136,""zh"",""en""),"""")"),"free")</f>
        <v>free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 t="s">
        <v>129</v>
      </c>
      <c r="C137" s="3" t="str">
        <f>IFERROR(__xludf.DUMMYFUNCTION("IF(B137&lt;&gt;"""",GOOGLETRANSLATE(B137,""zh"",""zh-TW""),"""")"),"名牌（兒）")</f>
        <v>名牌（兒）</v>
      </c>
      <c r="D137" s="2" t="str">
        <f>IFERROR(__xludf.DUMMYFUNCTION("IF(B137&lt;&gt;"""",GOOGLETRANSLATE(B137,""zh"",""en""),"""")"),"Famous brand (child)")</f>
        <v>Famous brand (child)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 t="s">
        <v>130</v>
      </c>
      <c r="C138" s="3" t="str">
        <f>IFERROR(__xludf.DUMMYFUNCTION("IF(B138&lt;&gt;"""",GOOGLETRANSLATE(B138,""zh"",""zh-TW""),"""")"),"欠")</f>
        <v>欠</v>
      </c>
      <c r="D138" s="2" t="str">
        <f>IFERROR(__xludf.DUMMYFUNCTION("IF(B138&lt;&gt;"""",GOOGLETRANSLATE(B138,""zh"",""en""),"""")"),"owe")</f>
        <v>owe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 t="s">
        <v>131</v>
      </c>
      <c r="C139" s="3" t="str">
        <f>IFERROR(__xludf.DUMMYFUNCTION("IF(B139&lt;&gt;"""",GOOGLETRANSLATE(B139,""zh"",""zh-TW""),"""")"),"收入")</f>
        <v>收入</v>
      </c>
      <c r="D139" s="2" t="str">
        <f>IFERROR(__xludf.DUMMYFUNCTION("IF(B139&lt;&gt;"""",GOOGLETRANSLATE(B139,""zh"",""en""),"""")"),"income")</f>
        <v>income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 t="s">
        <v>132</v>
      </c>
      <c r="C140" s="3" t="str">
        <f>IFERROR(__xludf.DUMMYFUNCTION("IF(B140&lt;&gt;"""",GOOGLETRANSLATE(B140,""zh"",""zh-TW""),"""")"),"香")</f>
        <v>香</v>
      </c>
      <c r="D140" s="2" t="str">
        <f>IFERROR(__xludf.DUMMYFUNCTION("IF(B140&lt;&gt;"""",GOOGLETRANSLATE(B140,""zh"",""en""),"""")"),"fragrant")</f>
        <v>fragrant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 t="s">
        <v>133</v>
      </c>
      <c r="C141" s="3" t="str">
        <f>IFERROR(__xludf.DUMMYFUNCTION("IF(B141&lt;&gt;"""",GOOGLETRANSLATE(B141,""zh"",""zh-TW""),"""")"),"心")</f>
        <v>心</v>
      </c>
      <c r="D141" s="2" t="str">
        <f>IFERROR(__xludf.DUMMYFUNCTION("IF(B141&lt;&gt;"""",GOOGLETRANSLATE(B141,""zh"",""en""),"""")"),"Heart")</f>
        <v>Heart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 t="s">
        <v>134</v>
      </c>
      <c r="C142" s="3" t="str">
        <f>IFERROR(__xludf.DUMMYFUNCTION("IF(B142&lt;&gt;"""",GOOGLETRANSLATE(B142,""zh"",""zh-TW""),"""")"),"主意")</f>
        <v>主意</v>
      </c>
      <c r="D142" s="2" t="str">
        <f>IFERROR(__xludf.DUMMYFUNCTION("IF(B142&lt;&gt;"""",GOOGLETRANSLATE(B142,""zh"",""en""),"""")"),"idea")</f>
        <v>idea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 t="s">
        <v>135</v>
      </c>
      <c r="C143" s="3" t="str">
        <f>IFERROR(__xludf.DUMMYFUNCTION("IF(B143&lt;&gt;"""",GOOGLETRANSLATE(B143,""zh"",""zh-TW""),"""")"),"主要")</f>
        <v>主要</v>
      </c>
      <c r="D143" s="2" t="str">
        <f>IFERROR(__xludf.DUMMYFUNCTION("IF(B143&lt;&gt;"""",GOOGLETRANSLATE(B143,""zh"",""en""),"""")"),"main")</f>
        <v>main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 t="s">
        <v>45</v>
      </c>
      <c r="C144" s="3" t="str">
        <f>IFERROR(__xludf.DUMMYFUNCTION("IF(B144&lt;&gt;"""",GOOGLETRANSLATE(B144,""zh"",""zh-TW""),"""")"),"工資")</f>
        <v>工資</v>
      </c>
      <c r="D144" s="2" t="str">
        <f>IFERROR(__xludf.DUMMYFUNCTION("IF(B144&lt;&gt;"""",GOOGLETRANSLATE(B144,""zh"",""en""),"""")"),"salary")</f>
        <v>salary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 t="s">
        <v>136</v>
      </c>
      <c r="C145" s="3" t="str">
        <f>IFERROR(__xludf.DUMMYFUNCTION("IF(B145&lt;&gt;"""",GOOGLETRANSLATE(B145,""zh"",""zh-TW""),"""")"),"便當")</f>
        <v>便當</v>
      </c>
      <c r="D145" s="2" t="str">
        <f>IFERROR(__xludf.DUMMYFUNCTION("IF(B145&lt;&gt;"""",GOOGLETRANSLATE(B145,""zh"",""en""),"""")"),"box lunch")</f>
        <v>box lunch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 t="s">
        <v>137</v>
      </c>
      <c r="C146" s="3" t="str">
        <f>IFERROR(__xludf.DUMMYFUNCTION("IF(B146&lt;&gt;"""",GOOGLETRANSLATE(B146,""zh"",""zh-TW""),"""")"),"領導")</f>
        <v>領導</v>
      </c>
      <c r="D146" s="2" t="str">
        <f>IFERROR(__xludf.DUMMYFUNCTION("IF(B146&lt;&gt;"""",GOOGLETRANSLATE(B146,""zh"",""en""),"""")"),"lead")</f>
        <v>lead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 t="s">
        <v>138</v>
      </c>
      <c r="C147" s="3" t="str">
        <f>IFERROR(__xludf.DUMMYFUNCTION("IF(B147&lt;&gt;"""",GOOGLETRANSLATE(B147,""zh"",""zh-TW""),"""")"),"麻將")</f>
        <v>麻將</v>
      </c>
      <c r="D147" s="2" t="str">
        <f>IFERROR(__xludf.DUMMYFUNCTION("IF(B147&lt;&gt;"""",GOOGLETRANSLATE(B147,""zh"",""en""),"""")"),"Mahjong")</f>
        <v>Mahjong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 t="s">
        <v>139</v>
      </c>
      <c r="C148" s="3" t="str">
        <f>IFERROR(__xludf.DUMMYFUNCTION("IF(B148&lt;&gt;"""",GOOGLETRANSLATE(B148,""zh"",""zh-TW""),"""")"),"碰見")</f>
        <v>碰見</v>
      </c>
      <c r="D148" s="2" t="str">
        <f>IFERROR(__xludf.DUMMYFUNCTION("IF(B148&lt;&gt;"""",GOOGLETRANSLATE(B148,""zh"",""en""),"""")"),"meet")</f>
        <v>meet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 t="s">
        <v>140</v>
      </c>
      <c r="C149" s="3" t="str">
        <f>IFERROR(__xludf.DUMMYFUNCTION("IF(B149&lt;&gt;"""",GOOGLETRANSLATE(B149,""zh"",""zh-TW""),"""")"),"爬山")</f>
        <v>爬山</v>
      </c>
      <c r="D149" s="2" t="str">
        <f>IFERROR(__xludf.DUMMYFUNCTION("IF(B149&lt;&gt;"""",GOOGLETRANSLATE(B149,""zh"",""en""),"""")"),"climb mountains")</f>
        <v>climb mountains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 t="s">
        <v>141</v>
      </c>
      <c r="C150" s="3" t="str">
        <f>IFERROR(__xludf.DUMMYFUNCTION("IF(B150&lt;&gt;"""",GOOGLETRANSLATE(B150,""zh"",""zh-TW""),"""")"),"親眼（看到）")</f>
        <v>親眼（看到）</v>
      </c>
      <c r="D150" s="2" t="str">
        <f>IFERROR(__xludf.DUMMYFUNCTION("IF(B150&lt;&gt;"""",GOOGLETRANSLATE(B150,""zh"",""en""),"""")"),"witness)")</f>
        <v>witness)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 t="s">
        <v>81</v>
      </c>
      <c r="C151" s="3" t="str">
        <f>IFERROR(__xludf.DUMMYFUNCTION("IF(B151&lt;&gt;"""",GOOGLETRANSLATE(B151,""zh"",""zh-TW""),"""")"),"輕鬆")</f>
        <v>輕鬆</v>
      </c>
      <c r="D151" s="2" t="str">
        <f>IFERROR(__xludf.DUMMYFUNCTION("IF(B151&lt;&gt;"""",GOOGLETRANSLATE(B151,""zh"",""en""),"""")"),"easy")</f>
        <v>easy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 t="s">
        <v>142</v>
      </c>
      <c r="C152" s="3" t="str">
        <f>IFERROR(__xludf.DUMMYFUNCTION("IF(B152&lt;&gt;"""",GOOGLETRANSLATE(B152,""zh"",""zh-TW""),"""")"),"勸")</f>
        <v>勸</v>
      </c>
      <c r="D152" s="2" t="str">
        <f>IFERROR(__xludf.DUMMYFUNCTION("IF(B152&lt;&gt;"""",GOOGLETRANSLATE(B152,""zh"",""en""),"""")"),"advise")</f>
        <v>advise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 t="s">
        <v>66</v>
      </c>
      <c r="C153" s="3" t="str">
        <f>IFERROR(__xludf.DUMMYFUNCTION("IF(B153&lt;&gt;"""",GOOGLETRANSLATE(B153,""zh"",""zh-TW""),"""")"),"日用品")</f>
        <v>日用品</v>
      </c>
      <c r="D153" s="2" t="str">
        <f>IFERROR(__xludf.DUMMYFUNCTION("IF(B153&lt;&gt;"""",GOOGLETRANSLATE(B153,""zh"",""en""),"""")"),"Daily necessities")</f>
        <v>Daily necessities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 t="s">
        <v>143</v>
      </c>
      <c r="C154" s="3" t="str">
        <f>IFERROR(__xludf.DUMMYFUNCTION("IF(B154&lt;&gt;"""",GOOGLETRANSLATE(B154,""zh"",""zh-TW""),"""")"),"散步")</f>
        <v>散步</v>
      </c>
      <c r="D154" s="2" t="str">
        <f>IFERROR(__xludf.DUMMYFUNCTION("IF(B154&lt;&gt;"""",GOOGLETRANSLATE(B154,""zh"",""en""),"""")"),"walk")</f>
        <v>walk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 t="s">
        <v>144</v>
      </c>
      <c r="C155" s="3" t="str">
        <f>IFERROR(__xludf.DUMMYFUNCTION("IF(B155&lt;&gt;"""",GOOGLETRANSLATE(B155,""zh"",""zh-TW""),"""")"),"退休")</f>
        <v>退休</v>
      </c>
      <c r="D155" s="2" t="str">
        <f>IFERROR(__xludf.DUMMYFUNCTION("IF(B155&lt;&gt;"""",GOOGLETRANSLATE(B155,""zh"",""en""),"""")"),"retire")</f>
        <v>retire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